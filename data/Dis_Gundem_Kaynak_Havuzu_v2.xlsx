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psam Modeli" sheetId="1" state="visible" r:id="rId3"/>
    <sheet name="Özet" sheetId="2" state="visible" r:id="rId4"/>
    <sheet name="Kaynak Havuzu" sheetId="3" state="visible" r:id="rId5"/>
    <sheet name="Türkiye Terimleri" sheetId="4" state="visible" r:id="rId6"/>
    <sheet name="Tema Matrisi" sheetId="5" state="visible" r:id="rId7"/>
  </sheets>
  <definedNames>
    <definedName function="false" hidden="true" localSheetId="2" name="_xlnm._FilterDatabase" vbProcedure="false">'Kaynak Havuzu'!$A$1:$O$260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<sst xmlns="http://schemas.openxmlformats.org/spreadsheetml/2006/main" count="3614" uniqueCount="1329">
  <si>
    <t xml:space="preserve">Dış Gündem — Kaynak Havuzu v2 (çok ülkeli)</t>
  </si>
  <si>
    <t xml:space="preserve">Hazırlanma: 18 Ekim 2026. Claude'un genel bilgisine dayanan başlangıç taslağı; URL/RSS/aktiflik doğrulanmadan hatta alınmamalı.</t>
  </si>
  <si>
    <t xml:space="preserve">KAPSAM SEVİYELERİ</t>
  </si>
  <si>
    <t xml:space="preserve">A — Yakın çevre (iç gündem + Türkiye)</t>
  </si>
  <si>
    <t xml:space="preserve">Bu ülkelerin kritik/önemli İÇ haberleri de kapsamda: iktidar/seçim, güvenlik ve çatışma, ekonomi/kriz, dış politika kararları, enerji. Artı Türkiye ile ilgili her şey. Kaynak: ülkenin 4-7 ana ulusal yayını + ajans + 1 think tank. İç haber için LLM 'önem skoru' (1-5) uygulanır; eşik altı yayınlanmaz.</t>
  </si>
  <si>
    <t xml:space="preserve">B — Türkiye'ye bakış</t>
  </si>
  <si>
    <t xml:space="preserve">Yalnızca Türkiye'yi konu alan içerik: anahtar kelime filtresi (bkz. 'Türkiye Terimleri') + LLM doğrulama. Kaynak: ülkenin 2-4 ağırlıklı yayını + Türkiye programı olan think tank'ler + Google News ülke/dil filtresi.</t>
  </si>
  <si>
    <t xml:space="preserve">R — Bölgesel</t>
  </si>
  <si>
    <t xml:space="preserve">Birden fazla ülkeye hizmet eden yayınlar (Al-Monitor, Eurasianet, JAMnews…). Hem A hem B rolünde çalışır; ülke etiketi makale bazında atanır.</t>
  </si>
  <si>
    <t xml:space="preserve">T — Türk perspektifi</t>
  </si>
  <si>
    <t xml:space="preserve">Resmi Türk pozisyonu ve Türk think tank'leri. Her ülke sayfasında 'Ankara ne dedi' kutusunu besler.</t>
  </si>
  <si>
    <t xml:space="preserve">P — Premium</t>
  </si>
  <si>
    <t xml:space="preserve">FT, Bloomberg, WSJ, Economist, Foreign Affairs, Foreign Policy. Gmail bültenleri; kendi analizinle süzülerek 'Analiz' içerik tipinde kullanılır, haber kartı olmaz.</t>
  </si>
  <si>
    <t xml:space="preserve">THINK TANK KATMANI</t>
  </si>
  <si>
    <t xml:space="preserve">Her bölge için yerel think tank'ler + Türk think tank'leri (ORSAM, SETA, EDAM, TEPAV, İRAM, AVİM, İKV…) havuzda; 'Tür' sütununda "Think tank" filtresiyle görünür. Rolü: haber değil, 'Analiz' içerik tipinin hammaddesi; haftalık tarama yeterli, saatlik değil.</t>
  </si>
  <si>
    <t xml:space="preserve">BÖLGELER (site navigasyonu)</t>
  </si>
  <si>
    <t xml:space="preserve">Levant &amp; Irak · Doğu Akdeniz · Körfez &amp; İran · Kafkasya · Karadeniz &amp; Rusya · Avrupa · Kuzey Amerika · Asya · Afrika. Orta Asya ve Balkanlar bu sürümde yok; ikinci fazda eklenir.</t>
  </si>
  <si>
    <t xml:space="preserve">SÜTUNLAR</t>
  </si>
  <si>
    <t xml:space="preserve">İçerik rolü</t>
  </si>
  <si>
    <t xml:space="preserve">İç gündem + Türkiye = A kapsamı · Türkiye'ye bakış = B kapsamı · Bölgesel · Türk perspektifi · Premium bağlam</t>
  </si>
  <si>
    <t xml:space="preserve">Güvenilirlik</t>
  </si>
  <si>
    <t xml:space="preserve">A bağımsız/kurumsal · B ana akım ama devlet/sermaye/siyasi eksene yakın · C devlet ajansı/propaganda — 'resmi pozisyon' etiketiyle, haber olarak değil</t>
  </si>
  <si>
    <t xml:space="preserve">Durum</t>
  </si>
  <si>
    <t xml:space="preserve">Çekirdek = ilk günden takip (yeşil) · Kontrol et = doğrulanmadı (sarı) · Pasif/Çıkarıldı</t>
  </si>
  <si>
    <t xml:space="preserve">Sarı hücreler</t>
  </si>
  <si>
    <t xml:space="preserve">Doldurulacak/doğrulanacak: RSS URL ve Durum. İlk 2 haftalık toplama verisiyle envanter budanır.</t>
  </si>
  <si>
    <t xml:space="preserve">İÇ GÜNDEM 'ÖNEM' ÖLÇÜTÜ (A kapsamı için LLM talimatı özeti)</t>
  </si>
  <si>
    <t xml:space="preserve">5 = rejim/iktidar değişimi, savaş-barış kararı, büyük saldırı · 4 = seçim sonucu, hükümet krizi, büyük ekonomik şok, Türkiye'yi doğrudan ilgilendiren karar · 3 = kabine değişikliği, önemli yargı kararı, enerji/altyapı anlaşması · 2 = rutin siyaset · 1 = magazin/yerel. Eşik: ≥3 yayınlanır, ≥4 ana sayfaya çıkar.</t>
  </si>
  <si>
    <t xml:space="preserve">Kaynak havuzu özeti (canlı formüller)</t>
  </si>
  <si>
    <t xml:space="preserve">Toplam kaynak</t>
  </si>
  <si>
    <t xml:space="preserve">Çekirdek</t>
  </si>
  <si>
    <t xml:space="preserve">Kontrol et</t>
  </si>
  <si>
    <t xml:space="preserve">RSS seçili, URL boş</t>
  </si>
  <si>
    <t xml:space="preserve">Think tank (toplam / çekirdek)</t>
  </si>
  <si>
    <t xml:space="preserve">Kapsam</t>
  </si>
  <si>
    <t xml:space="preserve">Toplam</t>
  </si>
  <si>
    <t xml:space="preserve">Bölge</t>
  </si>
  <si>
    <t xml:space="preserve">Ülke</t>
  </si>
  <si>
    <t xml:space="preserve">A — Yakın çevre</t>
  </si>
  <si>
    <t xml:space="preserve">Levant &amp; Irak</t>
  </si>
  <si>
    <t xml:space="preserve">Suriye</t>
  </si>
  <si>
    <t xml:space="preserve">Doğu Akdeniz</t>
  </si>
  <si>
    <t xml:space="preserve">Irak</t>
  </si>
  <si>
    <t xml:space="preserve">Körfez &amp; İran</t>
  </si>
  <si>
    <t xml:space="preserve">İsrail</t>
  </si>
  <si>
    <t xml:space="preserve">Kafkasya</t>
  </si>
  <si>
    <t xml:space="preserve">Yunanistan</t>
  </si>
  <si>
    <t xml:space="preserve">P — Premium/Küresel</t>
  </si>
  <si>
    <t xml:space="preserve">Karadeniz &amp; Rusya</t>
  </si>
  <si>
    <t xml:space="preserve">GKRY</t>
  </si>
  <si>
    <t xml:space="preserve">Avrupa</t>
  </si>
  <si>
    <t xml:space="preserve">Mısır</t>
  </si>
  <si>
    <t xml:space="preserve">Kuzey Amerika</t>
  </si>
  <si>
    <t xml:space="preserve">İran</t>
  </si>
  <si>
    <t xml:space="preserve">Asya</t>
  </si>
  <si>
    <t xml:space="preserve">Suudi Arabistan</t>
  </si>
  <si>
    <t xml:space="preserve">Afrika</t>
  </si>
  <si>
    <t xml:space="preserve">Azerbaycan</t>
  </si>
  <si>
    <t xml:space="preserve">Türkiye</t>
  </si>
  <si>
    <t xml:space="preserve">Ermenistan</t>
  </si>
  <si>
    <t xml:space="preserve">Küresel</t>
  </si>
  <si>
    <t xml:space="preserve">Rusya</t>
  </si>
  <si>
    <t xml:space="preserve">Ukrayna</t>
  </si>
  <si>
    <t xml:space="preserve">AB</t>
  </si>
  <si>
    <t xml:space="preserve">ABD</t>
  </si>
  <si>
    <t xml:space="preserve">Çin</t>
  </si>
  <si>
    <t xml:space="preserve">Hindistan</t>
  </si>
  <si>
    <t xml:space="preserve">ID</t>
  </si>
  <si>
    <t xml:space="preserve">Kaynak</t>
  </si>
  <si>
    <t xml:space="preserve">URL</t>
  </si>
  <si>
    <t xml:space="preserve">Dil</t>
  </si>
  <si>
    <t xml:space="preserve">Tür</t>
  </si>
  <si>
    <t xml:space="preserve">Eğilim / Bağlam</t>
  </si>
  <si>
    <t xml:space="preserve">Güv.</t>
  </si>
  <si>
    <t xml:space="preserve">Toplama</t>
  </si>
  <si>
    <t xml:space="preserve">RSS / Besleme URL</t>
  </si>
  <si>
    <t xml:space="preserve">Not</t>
  </si>
  <si>
    <t xml:space="preserve">K001</t>
  </si>
  <si>
    <t xml:space="preserve">A</t>
  </si>
  <si>
    <t xml:space="preserve">Enab Baladi</t>
  </si>
  <si>
    <t xml:space="preserve">https://www.enabbaladi.net</t>
  </si>
  <si>
    <t xml:space="preserve">ar/en</t>
  </si>
  <si>
    <t xml:space="preserve">Bağımsız</t>
  </si>
  <si>
    <t xml:space="preserve">Muhalefet kökenli; sınır ekonomisi ve Türkiye'deki Suriyeliler</t>
  </si>
  <si>
    <t xml:space="preserve">İç gündem + Türkiye</t>
  </si>
  <si>
    <t xml:space="preserve">RSS</t>
  </si>
  <si>
    <t xml:space="preserve">https://english.enabbaladi.net/feed/</t>
  </si>
  <si>
    <t xml:space="preserve">Suriye çapası</t>
  </si>
  <si>
    <t xml:space="preserve">K002</t>
  </si>
  <si>
    <t xml:space="preserve">Syria TV</t>
  </si>
  <si>
    <t xml:space="preserve">https://www.syria.tv</t>
  </si>
  <si>
    <t xml:space="preserve">ar</t>
  </si>
  <si>
    <t xml:space="preserve">Ana akım</t>
  </si>
  <si>
    <t xml:space="preserve">Katar destekli, İstanbul kökenli</t>
  </si>
  <si>
    <t xml:space="preserve">B</t>
  </si>
  <si>
    <t xml:space="preserve">Scraping</t>
  </si>
  <si>
    <t xml:space="preserve">K003</t>
  </si>
  <si>
    <t xml:space="preserve">SANA</t>
  </si>
  <si>
    <t xml:space="preserve">https://sana.sy</t>
  </si>
  <si>
    <t xml:space="preserve">ar/en/tr</t>
  </si>
  <si>
    <t xml:space="preserve">Devlet ajansı</t>
  </si>
  <si>
    <t xml:space="preserve">Geçiş hükümeti resmi ajansı; Türkçe edisyon</t>
  </si>
  <si>
    <t xml:space="preserve">C</t>
  </si>
  <si>
    <t xml:space="preserve">https://sana.sy/?feed=rss2</t>
  </si>
  <si>
    <t xml:space="preserve">K004</t>
  </si>
  <si>
    <t xml:space="preserve">Syria Direct</t>
  </si>
  <si>
    <t xml:space="preserve">https://syriadirect.org</t>
  </si>
  <si>
    <t xml:space="preserve">en/ar</t>
  </si>
  <si>
    <t xml:space="preserve">Amman; saha gazeteciliği</t>
  </si>
  <si>
    <t xml:space="preserve">https://syriadirect.org/feed/</t>
  </si>
  <si>
    <t xml:space="preserve">K005</t>
  </si>
  <si>
    <t xml:space="preserve">North Press Agency</t>
  </si>
  <si>
    <t xml:space="preserve">https://npasyria.com</t>
  </si>
  <si>
    <t xml:space="preserve">ar/en/ku</t>
  </si>
  <si>
    <t xml:space="preserve">Kamışlı; SDG bölgesi, Türkiye'ye eleştirel</t>
  </si>
  <si>
    <t xml:space="preserve">https://npasyria.com/en/feed/</t>
  </si>
  <si>
    <t xml:space="preserve">Kuzeydoğu perspektifi</t>
  </si>
  <si>
    <t xml:space="preserve">K006</t>
  </si>
  <si>
    <t xml:space="preserve">Jusoor for Studies</t>
  </si>
  <si>
    <t xml:space="preserve">https://jusoor.co</t>
  </si>
  <si>
    <t xml:space="preserve">Think tank</t>
  </si>
  <si>
    <t xml:space="preserve">İstanbul; Türkiye–Suriye ana dosya</t>
  </si>
  <si>
    <t xml:space="preserve">K007</t>
  </si>
  <si>
    <t xml:space="preserve">Omran Center</t>
  </si>
  <si>
    <t xml:space="preserve">https://omranstudies.org</t>
  </si>
  <si>
    <t xml:space="preserve">İstanbul; yönetişim, ekonomi</t>
  </si>
  <si>
    <t xml:space="preserve">K008</t>
  </si>
  <si>
    <t xml:space="preserve">SOHR</t>
  </si>
  <si>
    <t xml:space="preserve">https://www.syriahr.com</t>
  </si>
  <si>
    <t xml:space="preserve">İzleme</t>
  </si>
  <si>
    <t xml:space="preserve">Rakamları doğrulamadan kullanma</t>
  </si>
  <si>
    <t xml:space="preserve">https://www.syriahr.com/en/feed/</t>
  </si>
  <si>
    <t xml:space="preserve">K009</t>
  </si>
  <si>
    <t xml:space="preserve">Rudaw</t>
  </si>
  <si>
    <t xml:space="preserve">https://www.rudaw.net</t>
  </si>
  <si>
    <t xml:space="preserve">ku/ar/en/tr</t>
  </si>
  <si>
    <t xml:space="preserve">Erbil, KDP yakın; Türkçe servis</t>
  </si>
  <si>
    <t xml:space="preserve">https://www.rudaw.net/rss/english</t>
  </si>
  <si>
    <t xml:space="preserve">Suriye Kürt dosyasını da kapsar</t>
  </si>
  <si>
    <t xml:space="preserve">K010</t>
  </si>
  <si>
    <t xml:space="preserve">Kurdistan24</t>
  </si>
  <si>
    <t xml:space="preserve">https://www.kurdistan24.net</t>
  </si>
  <si>
    <t xml:space="preserve">Erbil, KDP yakın</t>
  </si>
  <si>
    <t xml:space="preserve">K011</t>
  </si>
  <si>
    <t xml:space="preserve">Shafaq News</t>
  </si>
  <si>
    <t xml:space="preserve">https://shafaq.com</t>
  </si>
  <si>
    <t xml:space="preserve">Erbil/Bağdat; geniş kapsam</t>
  </si>
  <si>
    <t xml:space="preserve">https://shafaq.com/en/feed</t>
  </si>
  <si>
    <t xml:space="preserve">K012</t>
  </si>
  <si>
    <t xml:space="preserve">Al-Mada</t>
  </si>
  <si>
    <t xml:space="preserve">https://almadapaper.net</t>
  </si>
  <si>
    <t xml:space="preserve">Bağdat; liberal çizgi</t>
  </si>
  <si>
    <t xml:space="preserve">K013</t>
  </si>
  <si>
    <t xml:space="preserve">INA (Iraqi News Agency)</t>
  </si>
  <si>
    <t xml:space="preserve">https://ina.iq</t>
  </si>
  <si>
    <t xml:space="preserve">Resmi pozisyon</t>
  </si>
  <si>
    <t xml:space="preserve">K014</t>
  </si>
  <si>
    <t xml:space="preserve">964 Media</t>
  </si>
  <si>
    <t xml:space="preserve">https://964media.com</t>
  </si>
  <si>
    <t xml:space="preserve">Yerel saha haberleri; Sincar, Musul</t>
  </si>
  <si>
    <t xml:space="preserve">PKK/Sincar ve Kalkınma Yolu dosyaları</t>
  </si>
  <si>
    <t xml:space="preserve">K015</t>
  </si>
  <si>
    <t xml:space="preserve">Al-Sumaria</t>
  </si>
  <si>
    <t xml:space="preserve">https://www.alsumaria.tv</t>
  </si>
  <si>
    <t xml:space="preserve">Bağdat TV</t>
  </si>
  <si>
    <t xml:space="preserve">K016</t>
  </si>
  <si>
    <t xml:space="preserve">Iraq Oil Report</t>
  </si>
  <si>
    <t xml:space="preserve">https://www.iraqoilreport.com</t>
  </si>
  <si>
    <t xml:space="preserve">en</t>
  </si>
  <si>
    <t xml:space="preserve">Uzman (paywall)</t>
  </si>
  <si>
    <t xml:space="preserve">Enerji; Kerkük–Ceyhan</t>
  </si>
  <si>
    <t xml:space="preserve">Gmail</t>
  </si>
  <si>
    <t xml:space="preserve">Abonelik; opsiyonel</t>
  </si>
  <si>
    <t xml:space="preserve">K017</t>
  </si>
  <si>
    <t xml:space="preserve">R</t>
  </si>
  <si>
    <t xml:space="preserve">Levant</t>
  </si>
  <si>
    <t xml:space="preserve">Al-Modon</t>
  </si>
  <si>
    <t xml:space="preserve">https://www.almodon.com</t>
  </si>
  <si>
    <t xml:space="preserve">Beyrut; Suriye-Lübnan</t>
  </si>
  <si>
    <t xml:space="preserve">Bölgesel</t>
  </si>
  <si>
    <t xml:space="preserve">K018</t>
  </si>
  <si>
    <t xml:space="preserve">L'Orient Today</t>
  </si>
  <si>
    <t xml:space="preserve">https://today.lorientlejour.com</t>
  </si>
  <si>
    <t xml:space="preserve">en/fr</t>
  </si>
  <si>
    <t xml:space="preserve">Beyrut</t>
  </si>
  <si>
    <t xml:space="preserve">K019</t>
  </si>
  <si>
    <t xml:space="preserve">Times of Israel</t>
  </si>
  <si>
    <t xml:space="preserve">https://www.timesofisrael.com</t>
  </si>
  <si>
    <t xml:space="preserve">Merkez; Türkiye haberi yoğun</t>
  </si>
  <si>
    <t xml:space="preserve">https://www.timesofisrael.com/feed/</t>
  </si>
  <si>
    <t xml:space="preserve">K020</t>
  </si>
  <si>
    <t xml:space="preserve">Haaretz</t>
  </si>
  <si>
    <t xml:space="preserve">https://www.haaretz.com</t>
  </si>
  <si>
    <t xml:space="preserve">he/en</t>
  </si>
  <si>
    <t xml:space="preserve">Sol-liberal; paywall</t>
  </si>
  <si>
    <t xml:space="preserve">https://www.haaretz.com/srv/haaretz-latest-headlines</t>
  </si>
  <si>
    <t xml:space="preserve">K021</t>
  </si>
  <si>
    <t xml:space="preserve">Jerusalem Post</t>
  </si>
  <si>
    <t xml:space="preserve">https://www.jpost.com</t>
  </si>
  <si>
    <t xml:space="preserve">Merkez-sağ</t>
  </si>
  <si>
    <t xml:space="preserve">https://www.jpost.com/rss/rssfeedsfrontpage.aspx</t>
  </si>
  <si>
    <t xml:space="preserve">K022</t>
  </si>
  <si>
    <t xml:space="preserve">Ynet</t>
  </si>
  <si>
    <t xml:space="preserve">https://www.ynetnews.com</t>
  </si>
  <si>
    <t xml:space="preserve">En yüksek tiraj</t>
  </si>
  <si>
    <t xml:space="preserve">https://www.ynetnews.com/category/3089</t>
  </si>
  <si>
    <t xml:space="preserve">K023</t>
  </si>
  <si>
    <t xml:space="preserve">Israel Hayom</t>
  </si>
  <si>
    <t xml:space="preserve">https://www.israelhayom.com</t>
  </si>
  <si>
    <t xml:space="preserve">Sağ; hükümete yakın</t>
  </si>
  <si>
    <t xml:space="preserve">K024</t>
  </si>
  <si>
    <t xml:space="preserve">INSS</t>
  </si>
  <si>
    <t xml:space="preserve">https://www.inss.org.il</t>
  </si>
  <si>
    <t xml:space="preserve">Tel Aviv; Türkiye dosyası düzenli</t>
  </si>
  <si>
    <t xml:space="preserve">K025</t>
  </si>
  <si>
    <t xml:space="preserve">i24NEWS</t>
  </si>
  <si>
    <t xml:space="preserve">https://www.i24news.tv</t>
  </si>
  <si>
    <t xml:space="preserve">en/fr/ar</t>
  </si>
  <si>
    <t xml:space="preserve">K026</t>
  </si>
  <si>
    <t xml:space="preserve">eKathimerini</t>
  </si>
  <si>
    <t xml:space="preserve">https://www.ekathimerini.com</t>
  </si>
  <si>
    <t xml:space="preserve">en/el</t>
  </si>
  <si>
    <t xml:space="preserve">Merkez-sağ, kurumsal; Türkiye haberi günlük</t>
  </si>
  <si>
    <t xml:space="preserve">https://www.ekathimerini.com/feed/</t>
  </si>
  <si>
    <t xml:space="preserve">Yunanistan çapası</t>
  </si>
  <si>
    <t xml:space="preserve">K027</t>
  </si>
  <si>
    <t xml:space="preserve">To Vima</t>
  </si>
  <si>
    <t xml:space="preserve">https://www.tovima.com</t>
  </si>
  <si>
    <t xml:space="preserve">el/en</t>
  </si>
  <si>
    <t xml:space="preserve">Merkez</t>
  </si>
  <si>
    <t xml:space="preserve">K028</t>
  </si>
  <si>
    <t xml:space="preserve">Proto Thema</t>
  </si>
  <si>
    <t xml:space="preserve">https://www.protothema.gr</t>
  </si>
  <si>
    <t xml:space="preserve">Popüler; Türkiye'ye sert çerçeve</t>
  </si>
  <si>
    <t xml:space="preserve">Yunan kamuoyu algısı için</t>
  </si>
  <si>
    <t xml:space="preserve">K029</t>
  </si>
  <si>
    <t xml:space="preserve">Naftemporiki</t>
  </si>
  <si>
    <t xml:space="preserve">https://www.naftemporiki.gr</t>
  </si>
  <si>
    <t xml:space="preserve">el</t>
  </si>
  <si>
    <t xml:space="preserve">Ekonomi</t>
  </si>
  <si>
    <t xml:space="preserve">K030</t>
  </si>
  <si>
    <t xml:space="preserve">ERT News</t>
  </si>
  <si>
    <t xml:space="preserve">https://www.ertnews.gr</t>
  </si>
  <si>
    <t xml:space="preserve">Devlet yayını</t>
  </si>
  <si>
    <t xml:space="preserve">K031</t>
  </si>
  <si>
    <t xml:space="preserve">ELIAMEP</t>
  </si>
  <si>
    <t xml:space="preserve">https://www.eliamep.gr</t>
  </si>
  <si>
    <t xml:space="preserve">Türkiye programı var</t>
  </si>
  <si>
    <t xml:space="preserve">K032</t>
  </si>
  <si>
    <t xml:space="preserve">Greek City Times</t>
  </si>
  <si>
    <t xml:space="preserve">https://greekcitytimes.com</t>
  </si>
  <si>
    <t xml:space="preserve">Diaspora</t>
  </si>
  <si>
    <t xml:space="preserve">Türkiye'ye düşmanca çerçeve</t>
  </si>
  <si>
    <t xml:space="preserve">Bakış açısı etiketiyle</t>
  </si>
  <si>
    <t xml:space="preserve">K033</t>
  </si>
  <si>
    <t xml:space="preserve">Cyprus Mail</t>
  </si>
  <si>
    <t xml:space="preserve">https://cyprus-mail.com</t>
  </si>
  <si>
    <t xml:space="preserve">https://cyprus-mail.com/feed/</t>
  </si>
  <si>
    <t xml:space="preserve">K034</t>
  </si>
  <si>
    <t xml:space="preserve">Philenews</t>
  </si>
  <si>
    <t xml:space="preserve">https://www.philenews.com</t>
  </si>
  <si>
    <t xml:space="preserve">En büyük gazete</t>
  </si>
  <si>
    <t xml:space="preserve">K035</t>
  </si>
  <si>
    <t xml:space="preserve">Politis</t>
  </si>
  <si>
    <t xml:space="preserve">https://politis.com.cy</t>
  </si>
  <si>
    <t xml:space="preserve">K036</t>
  </si>
  <si>
    <t xml:space="preserve">CNA (Cyprus News Agency)</t>
  </si>
  <si>
    <t xml:space="preserve">https://www.cna.org.cy</t>
  </si>
  <si>
    <t xml:space="preserve">K037</t>
  </si>
  <si>
    <t xml:space="preserve">In-Cyprus</t>
  </si>
  <si>
    <t xml:space="preserve">https://in-cyprus.philenews.com</t>
  </si>
  <si>
    <t xml:space="preserve">Philenews İngilizce</t>
  </si>
  <si>
    <t xml:space="preserve">K038</t>
  </si>
  <si>
    <t xml:space="preserve">T</t>
  </si>
  <si>
    <t xml:space="preserve">KKTC</t>
  </si>
  <si>
    <t xml:space="preserve">Kıbrıs Postası / Yenidüzen</t>
  </si>
  <si>
    <t xml:space="preserve">https://www.kibrispostasi.com</t>
  </si>
  <si>
    <t xml:space="preserve">tr</t>
  </si>
  <si>
    <t xml:space="preserve">KKTC perspektifi</t>
  </si>
  <si>
    <t xml:space="preserve">Türk perspektifi</t>
  </si>
  <si>
    <t xml:space="preserve">Kıbrıs dosyası için zorunlu karşı taraf</t>
  </si>
  <si>
    <t xml:space="preserve">K039</t>
  </si>
  <si>
    <t xml:space="preserve">Mada Masr</t>
  </si>
  <si>
    <t xml:space="preserve">https://www.madamasr.com</t>
  </si>
  <si>
    <t xml:space="preserve">Tek bağımsız; sık engellenir</t>
  </si>
  <si>
    <t xml:space="preserve">https://www.madamasr.com/en/feed/</t>
  </si>
  <si>
    <t xml:space="preserve">K040</t>
  </si>
  <si>
    <t xml:space="preserve">Ahram Online</t>
  </si>
  <si>
    <t xml:space="preserve">https://english.ahram.org.eg</t>
  </si>
  <si>
    <t xml:space="preserve">Resmi çizgi</t>
  </si>
  <si>
    <t xml:space="preserve">K041</t>
  </si>
  <si>
    <t xml:space="preserve">Al-Masry Al-Youm</t>
  </si>
  <si>
    <t xml:space="preserve">https://www.almasryalyoum.com</t>
  </si>
  <si>
    <t xml:space="preserve">K042</t>
  </si>
  <si>
    <t xml:space="preserve">Egypt Independent</t>
  </si>
  <si>
    <t xml:space="preserve">https://www.egyptindependent.com</t>
  </si>
  <si>
    <t xml:space="preserve">AMAY İngilizce</t>
  </si>
  <si>
    <t xml:space="preserve">K043</t>
  </si>
  <si>
    <t xml:space="preserve">Daily News Egypt</t>
  </si>
  <si>
    <t xml:space="preserve">https://www.dailynewsegypt.com</t>
  </si>
  <si>
    <t xml:space="preserve">K044</t>
  </si>
  <si>
    <t xml:space="preserve">ECSS</t>
  </si>
  <si>
    <t xml:space="preserve">https://ecss.com.eg</t>
  </si>
  <si>
    <t xml:space="preserve">Devlete yakın</t>
  </si>
  <si>
    <t xml:space="preserve">K045</t>
  </si>
  <si>
    <t xml:space="preserve">Libya</t>
  </si>
  <si>
    <t xml:space="preserve">Libya Observer</t>
  </si>
  <si>
    <t xml:space="preserve">https://libyaobserver.ly</t>
  </si>
  <si>
    <t xml:space="preserve">Trablus yakın</t>
  </si>
  <si>
    <t xml:space="preserve">Libya A kapsamı değil; Türkiye bağlantılı</t>
  </si>
  <si>
    <t xml:space="preserve">K046</t>
  </si>
  <si>
    <t xml:space="preserve">Libya Herald</t>
  </si>
  <si>
    <t xml:space="preserve">https://libyaherald.com</t>
  </si>
  <si>
    <t xml:space="preserve">K047</t>
  </si>
  <si>
    <t xml:space="preserve">IRNA</t>
  </si>
  <si>
    <t xml:space="preserve">https://en.irna.ir</t>
  </si>
  <si>
    <t xml:space="preserve">fa/en/tr</t>
  </si>
  <si>
    <t xml:space="preserve">Resmi; Türkçe servis</t>
  </si>
  <si>
    <t xml:space="preserve">K048</t>
  </si>
  <si>
    <t xml:space="preserve">Tasnim</t>
  </si>
  <si>
    <t xml:space="preserve">https://www.tasnimnews.com</t>
  </si>
  <si>
    <t xml:space="preserve">Devrim Muhafızları yakın</t>
  </si>
  <si>
    <t xml:space="preserve">Güvenlik kurumunun sesi</t>
  </si>
  <si>
    <t xml:space="preserve">K049</t>
  </si>
  <si>
    <t xml:space="preserve">ISNA</t>
  </si>
  <si>
    <t xml:space="preserve">https://www.isna.ir</t>
  </si>
  <si>
    <t xml:space="preserve">fa/en</t>
  </si>
  <si>
    <t xml:space="preserve">Reformist eğilimli öğrenci ajansı</t>
  </si>
  <si>
    <t xml:space="preserve">K050</t>
  </si>
  <si>
    <t xml:space="preserve">Iran International</t>
  </si>
  <si>
    <t xml:space="preserve">https://www.iranintl.com</t>
  </si>
  <si>
    <t xml:space="preserve">fa/en/ar</t>
  </si>
  <si>
    <t xml:space="preserve">Muhalif</t>
  </si>
  <si>
    <t xml:space="preserve">Londra; Suudi bağlantılı, rejim karşıtı</t>
  </si>
  <si>
    <t xml:space="preserve">https://www.iranintl.com/en/rss</t>
  </si>
  <si>
    <t xml:space="preserve">İç muhalefet ve sızıntı</t>
  </si>
  <si>
    <t xml:space="preserve">K051</t>
  </si>
  <si>
    <t xml:space="preserve">IranWire</t>
  </si>
  <si>
    <t xml:space="preserve">https://iranwire.com</t>
  </si>
  <si>
    <t xml:space="preserve">Sürgün medya</t>
  </si>
  <si>
    <t xml:space="preserve">K052</t>
  </si>
  <si>
    <t xml:space="preserve">Etemad / Shargh</t>
  </si>
  <si>
    <t xml:space="preserve">https://www.sharghdaily.com</t>
  </si>
  <si>
    <t xml:space="preserve">fa</t>
  </si>
  <si>
    <t xml:space="preserve">Reformist gazeteler</t>
  </si>
  <si>
    <t xml:space="preserve">K053</t>
  </si>
  <si>
    <t xml:space="preserve">Tehran Times</t>
  </si>
  <si>
    <t xml:space="preserve">https://www.tehrantimes.com</t>
  </si>
  <si>
    <t xml:space="preserve">K054</t>
  </si>
  <si>
    <t xml:space="preserve">Amwaj.media</t>
  </si>
  <si>
    <t xml:space="preserve">https://amwaj.media</t>
  </si>
  <si>
    <t xml:space="preserve">Uzman yayın</t>
  </si>
  <si>
    <t xml:space="preserve">İran-Körfez analiz; kısmi paywall</t>
  </si>
  <si>
    <t xml:space="preserve">K055</t>
  </si>
  <si>
    <t xml:space="preserve">Asharq Al-Awsat</t>
  </si>
  <si>
    <t xml:space="preserve">https://aawsat.com</t>
  </si>
  <si>
    <t xml:space="preserve">Suudi; Türkiye'ye mesafeli</t>
  </si>
  <si>
    <t xml:space="preserve">https://english.aawsat.com/feed</t>
  </si>
  <si>
    <t xml:space="preserve">Körfez çapası</t>
  </si>
  <si>
    <t xml:space="preserve">K056</t>
  </si>
  <si>
    <t xml:space="preserve">Arab News</t>
  </si>
  <si>
    <t xml:space="preserve">https://www.arabnews.com</t>
  </si>
  <si>
    <t xml:space="preserve">Suudi; İngilizce vitrin</t>
  </si>
  <si>
    <t xml:space="preserve">https://www.arabnews.com/rss.xml</t>
  </si>
  <si>
    <t xml:space="preserve">K057</t>
  </si>
  <si>
    <t xml:space="preserve">Al Arabiya</t>
  </si>
  <si>
    <t xml:space="preserve">https://www.alarabiya.net</t>
  </si>
  <si>
    <t xml:space="preserve">Devlet yakın TV</t>
  </si>
  <si>
    <t xml:space="preserve">K058</t>
  </si>
  <si>
    <t xml:space="preserve">SPA</t>
  </si>
  <si>
    <t xml:space="preserve">https://www.spa.gov.sa</t>
  </si>
  <si>
    <t xml:space="preserve">K059</t>
  </si>
  <si>
    <t xml:space="preserve">Okaz</t>
  </si>
  <si>
    <t xml:space="preserve">https://www.okaz.com.sa</t>
  </si>
  <si>
    <t xml:space="preserve">K060</t>
  </si>
  <si>
    <t xml:space="preserve">Gulf Research Center</t>
  </si>
  <si>
    <t xml:space="preserve">https://www.grc.net</t>
  </si>
  <si>
    <t xml:space="preserve">K061</t>
  </si>
  <si>
    <t xml:space="preserve">Körfez</t>
  </si>
  <si>
    <t xml:space="preserve">Al Jazeera (AR/EN)</t>
  </si>
  <si>
    <t xml:space="preserve">https://www.aljazeera.com</t>
  </si>
  <si>
    <t xml:space="preserve">Katar; Türkiye'ye olumlu çerçeve</t>
  </si>
  <si>
    <t xml:space="preserve">https://www.aljazeera.com/xml/rss/all.xml</t>
  </si>
  <si>
    <t xml:space="preserve">Bölgesel çapa</t>
  </si>
  <si>
    <t xml:space="preserve">K062</t>
  </si>
  <si>
    <t xml:space="preserve">The National (BAE)</t>
  </si>
  <si>
    <t xml:space="preserve">https://www.thenationalnews.com</t>
  </si>
  <si>
    <t xml:space="preserve">Abu Dabi; BAE perspektifi</t>
  </si>
  <si>
    <t xml:space="preserve">https://www.thenationalnews.com/rss</t>
  </si>
  <si>
    <t xml:space="preserve">K063</t>
  </si>
  <si>
    <t xml:space="preserve">Al-Araby Al-Jadeed / New Arab</t>
  </si>
  <si>
    <t xml:space="preserve">https://www.alaraby.co.uk</t>
  </si>
  <si>
    <t xml:space="preserve">Katar</t>
  </si>
  <si>
    <t xml:space="preserve">K064</t>
  </si>
  <si>
    <t xml:space="preserve">Middle East Eye</t>
  </si>
  <si>
    <t xml:space="preserve">https://www.middleeasteye.net</t>
  </si>
  <si>
    <t xml:space="preserve">Londra; Türkiye yoğun</t>
  </si>
  <si>
    <t xml:space="preserve">https://www.middleeasteye.net/rss</t>
  </si>
  <si>
    <t xml:space="preserve">K065</t>
  </si>
  <si>
    <t xml:space="preserve">MENA</t>
  </si>
  <si>
    <t xml:space="preserve">Al-Monitor</t>
  </si>
  <si>
    <t xml:space="preserve">https://www.al-monitor.com</t>
  </si>
  <si>
    <t xml:space="preserve">Türkiye masası güçlü</t>
  </si>
  <si>
    <t xml:space="preserve">https://www.al-monitor.com/rss</t>
  </si>
  <si>
    <t xml:space="preserve">MENA genelinde en verimli kaynak</t>
  </si>
  <si>
    <t xml:space="preserve">K066</t>
  </si>
  <si>
    <t xml:space="preserve">Middle East Institute</t>
  </si>
  <si>
    <t xml:space="preserve">https://www.mei.edu</t>
  </si>
  <si>
    <t xml:space="preserve">Washington; Türkiye programı var</t>
  </si>
  <si>
    <t xml:space="preserve">K067</t>
  </si>
  <si>
    <t xml:space="preserve">APA</t>
  </si>
  <si>
    <t xml:space="preserve">https://apa.az</t>
  </si>
  <si>
    <t xml:space="preserve">az/en/ru</t>
  </si>
  <si>
    <t xml:space="preserve">Hükümete yakın</t>
  </si>
  <si>
    <t xml:space="preserve">https://apa.az/en/rss</t>
  </si>
  <si>
    <t xml:space="preserve">K068</t>
  </si>
  <si>
    <t xml:space="preserve">Report.az</t>
  </si>
  <si>
    <t xml:space="preserve">https://report.az</t>
  </si>
  <si>
    <t xml:space="preserve">K069</t>
  </si>
  <si>
    <t xml:space="preserve">Turan</t>
  </si>
  <si>
    <t xml:space="preserve">https://turan.az</t>
  </si>
  <si>
    <t xml:space="preserve">Tek bağımsız ajans; baskı altında</t>
  </si>
  <si>
    <t xml:space="preserve">K070</t>
  </si>
  <si>
    <t xml:space="preserve">AZERTAC</t>
  </si>
  <si>
    <t xml:space="preserve">https://azertag.az</t>
  </si>
  <si>
    <t xml:space="preserve">az/en/tr</t>
  </si>
  <si>
    <t xml:space="preserve">Türkçe servis</t>
  </si>
  <si>
    <t xml:space="preserve">K071</t>
  </si>
  <si>
    <t xml:space="preserve">Caliber.az</t>
  </si>
  <si>
    <t xml:space="preserve">https://caliber.az</t>
  </si>
  <si>
    <t xml:space="preserve">Devlete yakın analiz; sert dil</t>
  </si>
  <si>
    <t xml:space="preserve">Resmi pozisyon göstergesi</t>
  </si>
  <si>
    <t xml:space="preserve">K072</t>
  </si>
  <si>
    <t xml:space="preserve">Trend</t>
  </si>
  <si>
    <t xml:space="preserve">https://www.trend.az</t>
  </si>
  <si>
    <t xml:space="preserve">Ekonomi/enerji ağırlıklı</t>
  </si>
  <si>
    <t xml:space="preserve">K073</t>
  </si>
  <si>
    <t xml:space="preserve">CivilNet</t>
  </si>
  <si>
    <t xml:space="preserve">https://www.civilnet.am</t>
  </si>
  <si>
    <t xml:space="preserve">hy/en</t>
  </si>
  <si>
    <t xml:space="preserve">K074</t>
  </si>
  <si>
    <t xml:space="preserve">Armenpress</t>
  </si>
  <si>
    <t xml:space="preserve">https://armenpress.am</t>
  </si>
  <si>
    <t xml:space="preserve">hy/en/ru</t>
  </si>
  <si>
    <t xml:space="preserve">https://armenpress.am/rss/news</t>
  </si>
  <si>
    <t xml:space="preserve">K075</t>
  </si>
  <si>
    <t xml:space="preserve">News.am</t>
  </si>
  <si>
    <t xml:space="preserve">https://news.am</t>
  </si>
  <si>
    <t xml:space="preserve">K076</t>
  </si>
  <si>
    <t xml:space="preserve">EVN Report</t>
  </si>
  <si>
    <t xml:space="preserve">https://evnreport.com</t>
  </si>
  <si>
    <t xml:space="preserve">en/hy</t>
  </si>
  <si>
    <t xml:space="preserve">Analiz ağırlıklı</t>
  </si>
  <si>
    <t xml:space="preserve">K077</t>
  </si>
  <si>
    <t xml:space="preserve">Hetq</t>
  </si>
  <si>
    <t xml:space="preserve">https://hetq.am</t>
  </si>
  <si>
    <t xml:space="preserve">Araştırmacı gazetecilik</t>
  </si>
  <si>
    <t xml:space="preserve">K078</t>
  </si>
  <si>
    <t xml:space="preserve">Azatutyun (RFE/RL)</t>
  </si>
  <si>
    <t xml:space="preserve">https://www.azatutyun.am</t>
  </si>
  <si>
    <t xml:space="preserve">K079</t>
  </si>
  <si>
    <t xml:space="preserve">JAMnews</t>
  </si>
  <si>
    <t xml:space="preserve">https://jam-news.net</t>
  </si>
  <si>
    <t xml:space="preserve">en/ru</t>
  </si>
  <si>
    <t xml:space="preserve">Üç Kafkas ülkesi</t>
  </si>
  <si>
    <t xml:space="preserve">K080</t>
  </si>
  <si>
    <t xml:space="preserve">OC Media</t>
  </si>
  <si>
    <t xml:space="preserve">https://oc-media.org</t>
  </si>
  <si>
    <t xml:space="preserve">K081</t>
  </si>
  <si>
    <t xml:space="preserve">Caucasus Watch</t>
  </si>
  <si>
    <t xml:space="preserve">https://caucasuswatch.de</t>
  </si>
  <si>
    <t xml:space="preserve">Analiz</t>
  </si>
  <si>
    <t xml:space="preserve">K082</t>
  </si>
  <si>
    <t xml:space="preserve">Eurasianet</t>
  </si>
  <si>
    <t xml:space="preserve">https://eurasianet.org</t>
  </si>
  <si>
    <t xml:space="preserve">Kafkasya+Orta Asya</t>
  </si>
  <si>
    <t xml:space="preserve">https://eurasianet.org/rss</t>
  </si>
  <si>
    <t xml:space="preserve">K083</t>
  </si>
  <si>
    <t xml:space="preserve">TASS</t>
  </si>
  <si>
    <t xml:space="preserve">https://tass.com</t>
  </si>
  <si>
    <t xml:space="preserve">ru/en</t>
  </si>
  <si>
    <t xml:space="preserve">Resmi</t>
  </si>
  <si>
    <t xml:space="preserve">https://tass.com/rss/v2.xml</t>
  </si>
  <si>
    <t xml:space="preserve">K084</t>
  </si>
  <si>
    <t xml:space="preserve">RIA Novosti</t>
  </si>
  <si>
    <t xml:space="preserve">https://ria.ru</t>
  </si>
  <si>
    <t xml:space="preserve">ru</t>
  </si>
  <si>
    <t xml:space="preserve">K085</t>
  </si>
  <si>
    <t xml:space="preserve">Kommersant</t>
  </si>
  <si>
    <t xml:space="preserve">https://www.kommersant.ru</t>
  </si>
  <si>
    <t xml:space="preserve">İş dünyası; görece bağımsız</t>
  </si>
  <si>
    <t xml:space="preserve">K086</t>
  </si>
  <si>
    <t xml:space="preserve">Meduza</t>
  </si>
  <si>
    <t xml:space="preserve">https://meduza.io</t>
  </si>
  <si>
    <t xml:space="preserve">Riga; sürgün medya</t>
  </si>
  <si>
    <t xml:space="preserve">https://meduza.io/rss/en</t>
  </si>
  <si>
    <t xml:space="preserve">K087</t>
  </si>
  <si>
    <t xml:space="preserve">The Moscow Times</t>
  </si>
  <si>
    <t xml:space="preserve">https://www.themoscowtimes.com</t>
  </si>
  <si>
    <t xml:space="preserve">Amsterdam</t>
  </si>
  <si>
    <t xml:space="preserve">K088</t>
  </si>
  <si>
    <t xml:space="preserve">RBC</t>
  </si>
  <si>
    <t xml:space="preserve">https://www.rbc.ru</t>
  </si>
  <si>
    <t xml:space="preserve">K089</t>
  </si>
  <si>
    <t xml:space="preserve">Carnegie Russia Eurasia Center</t>
  </si>
  <si>
    <t xml:space="preserve">https://carnegieendowment.org/russia-eurasia</t>
  </si>
  <si>
    <t xml:space="preserve">Berlin</t>
  </si>
  <si>
    <t xml:space="preserve">K090</t>
  </si>
  <si>
    <t xml:space="preserve">Nezavisimaya Gazeta</t>
  </si>
  <si>
    <t xml:space="preserve">https://www.ng.ru</t>
  </si>
  <si>
    <t xml:space="preserve">Dış politika yorumları</t>
  </si>
  <si>
    <t xml:space="preserve">K091</t>
  </si>
  <si>
    <t xml:space="preserve">Kyiv Independent</t>
  </si>
  <si>
    <t xml:space="preserve">https://kyivindependent.com</t>
  </si>
  <si>
    <t xml:space="preserve">https://kyivindependent.com/feed/</t>
  </si>
  <si>
    <t xml:space="preserve">K092</t>
  </si>
  <si>
    <t xml:space="preserve">Ukrainska Pravda</t>
  </si>
  <si>
    <t xml:space="preserve">https://www.pravda.com.ua</t>
  </si>
  <si>
    <t xml:space="preserve">uk/en</t>
  </si>
  <si>
    <t xml:space="preserve">K093</t>
  </si>
  <si>
    <t xml:space="preserve">European Pravda</t>
  </si>
  <si>
    <t xml:space="preserve">https://www.eurointegration.com.ua</t>
  </si>
  <si>
    <t xml:space="preserve">Dış politika odaklı</t>
  </si>
  <si>
    <t xml:space="preserve">Türkiye-Ukrayna için verimli</t>
  </si>
  <si>
    <t xml:space="preserve">K094</t>
  </si>
  <si>
    <t xml:space="preserve">Ukrinform</t>
  </si>
  <si>
    <t xml:space="preserve">https://www.ukrinform.net</t>
  </si>
  <si>
    <t xml:space="preserve">uk/en/tr</t>
  </si>
  <si>
    <t xml:space="preserve">K095</t>
  </si>
  <si>
    <t xml:space="preserve">Suspilne</t>
  </si>
  <si>
    <t xml:space="preserve">https://suspilne.media</t>
  </si>
  <si>
    <t xml:space="preserve">Kamu yayını</t>
  </si>
  <si>
    <t xml:space="preserve">K096</t>
  </si>
  <si>
    <t xml:space="preserve">LB.ua</t>
  </si>
  <si>
    <t xml:space="preserve">https://lb.ua</t>
  </si>
  <si>
    <t xml:space="preserve">uk</t>
  </si>
  <si>
    <t xml:space="preserve">K097</t>
  </si>
  <si>
    <t xml:space="preserve">Karadeniz</t>
  </si>
  <si>
    <t xml:space="preserve">RFE/RL</t>
  </si>
  <si>
    <t xml:space="preserve">https://www.rferl.org</t>
  </si>
  <si>
    <t xml:space="preserve">en + yerel</t>
  </si>
  <si>
    <t xml:space="preserve">ABD fonlu; Rusya/Ukrayna/Kafkasya servisleri</t>
  </si>
  <si>
    <t xml:space="preserve">https://www.rferl.org/api/</t>
  </si>
  <si>
    <t xml:space="preserve">K098</t>
  </si>
  <si>
    <t xml:space="preserve">Romania Insider / Novinite (BG)</t>
  </si>
  <si>
    <t xml:space="preserve">https://www.romania-insider.com</t>
  </si>
  <si>
    <t xml:space="preserve">Romanya+Bulgaristan</t>
  </si>
  <si>
    <t xml:space="preserve">K099</t>
  </si>
  <si>
    <t xml:space="preserve">Black Sea News / Monitor</t>
  </si>
  <si>
    <t xml:space="preserve">https://www.blackseanews.net</t>
  </si>
  <si>
    <t xml:space="preserve">uk/en/ru</t>
  </si>
  <si>
    <t xml:space="preserve">Uzman</t>
  </si>
  <si>
    <t xml:space="preserve">Boğazlar, tahıl, deniz güvenliği</t>
  </si>
  <si>
    <t xml:space="preserve">K100</t>
  </si>
  <si>
    <t xml:space="preserve">Politico Europe</t>
  </si>
  <si>
    <t xml:space="preserve">https://www.politico.eu</t>
  </si>
  <si>
    <t xml:space="preserve">Brüksel</t>
  </si>
  <si>
    <t xml:space="preserve">Türkiye'ye bakış</t>
  </si>
  <si>
    <t xml:space="preserve">https://www.politico.eu/feed/</t>
  </si>
  <si>
    <t xml:space="preserve">K101</t>
  </si>
  <si>
    <t xml:space="preserve">Euractiv</t>
  </si>
  <si>
    <t xml:space="preserve">https://www.euractiv.com</t>
  </si>
  <si>
    <t xml:space="preserve">Brüksel; politika detayı</t>
  </si>
  <si>
    <t xml:space="preserve">https://www.euractiv.com/feed/</t>
  </si>
  <si>
    <t xml:space="preserve">K102</t>
  </si>
  <si>
    <t xml:space="preserve">Euronews</t>
  </si>
  <si>
    <t xml:space="preserve">https://www.euronews.com</t>
  </si>
  <si>
    <t xml:space="preserve">en/tr</t>
  </si>
  <si>
    <t xml:space="preserve">K103</t>
  </si>
  <si>
    <t xml:space="preserve">EUobserver</t>
  </si>
  <si>
    <t xml:space="preserve">https://euobserver.com</t>
  </si>
  <si>
    <t xml:space="preserve">K104</t>
  </si>
  <si>
    <t xml:space="preserve">Avrupa Parlamentosu basın</t>
  </si>
  <si>
    <t xml:space="preserve">https://www.europarl.europa.eu/news</t>
  </si>
  <si>
    <t xml:space="preserve">Resmi kurum</t>
  </si>
  <si>
    <t xml:space="preserve">Türkiye raporları, kararlar</t>
  </si>
  <si>
    <t xml:space="preserve">K105</t>
  </si>
  <si>
    <t xml:space="preserve">EEAS / Komisyon basın</t>
  </si>
  <si>
    <t xml:space="preserve">https://ec.europa.eu/commission/presscorner</t>
  </si>
  <si>
    <t xml:space="preserve">K106</t>
  </si>
  <si>
    <t xml:space="preserve">ECFR</t>
  </si>
  <si>
    <t xml:space="preserve">https://ecfr.eu</t>
  </si>
  <si>
    <t xml:space="preserve">Türkiye yazıları düzenli</t>
  </si>
  <si>
    <t xml:space="preserve">K107</t>
  </si>
  <si>
    <t xml:space="preserve">Carnegie Europe</t>
  </si>
  <si>
    <t xml:space="preserve">https://carnegieeurope.eu</t>
  </si>
  <si>
    <t xml:space="preserve">K108</t>
  </si>
  <si>
    <t xml:space="preserve">CEPS</t>
  </si>
  <si>
    <t xml:space="preserve">https://www.ceps.eu</t>
  </si>
  <si>
    <t xml:space="preserve">K109</t>
  </si>
  <si>
    <t xml:space="preserve">Almanya</t>
  </si>
  <si>
    <t xml:space="preserve">DW (TR/EN)</t>
  </si>
  <si>
    <t xml:space="preserve">https://www.dw.com</t>
  </si>
  <si>
    <t xml:space="preserve">de/en/tr</t>
  </si>
  <si>
    <t xml:space="preserve">Türkçe servisi en kapsamlı Alman kaynağı</t>
  </si>
  <si>
    <t xml:space="preserve">https://rss.dw.com/rdf/rss-tr-all</t>
  </si>
  <si>
    <t xml:space="preserve">K110</t>
  </si>
  <si>
    <t xml:space="preserve">Der Spiegel</t>
  </si>
  <si>
    <t xml:space="preserve">https://www.spiegel.de</t>
  </si>
  <si>
    <t xml:space="preserve">de/en</t>
  </si>
  <si>
    <t xml:space="preserve">K111</t>
  </si>
  <si>
    <t xml:space="preserve">FAZ</t>
  </si>
  <si>
    <t xml:space="preserve">https://www.faz.net</t>
  </si>
  <si>
    <t xml:space="preserve">de</t>
  </si>
  <si>
    <t xml:space="preserve">K112</t>
  </si>
  <si>
    <t xml:space="preserve">SWP</t>
  </si>
  <si>
    <t xml:space="preserve">https://www.swp-berlin.org</t>
  </si>
  <si>
    <t xml:space="preserve">Türkiye uzmanlığı derin</t>
  </si>
  <si>
    <t xml:space="preserve">K113</t>
  </si>
  <si>
    <t xml:space="preserve">Fransa</t>
  </si>
  <si>
    <t xml:space="preserve">Le Monde</t>
  </si>
  <si>
    <t xml:space="preserve">https://www.lemonde.fr</t>
  </si>
  <si>
    <t xml:space="preserve">fr/en</t>
  </si>
  <si>
    <t xml:space="preserve">K114</t>
  </si>
  <si>
    <t xml:space="preserve">IFRI</t>
  </si>
  <si>
    <t xml:space="preserve">https://www.ifri.org</t>
  </si>
  <si>
    <t xml:space="preserve">K115</t>
  </si>
  <si>
    <t xml:space="preserve">İngiltere</t>
  </si>
  <si>
    <t xml:space="preserve">The Guardian</t>
  </si>
  <si>
    <t xml:space="preserve">https://www.theguardian.com</t>
  </si>
  <si>
    <t xml:space="preserve">https://www.theguardian.com/world/turkey/rss</t>
  </si>
  <si>
    <t xml:space="preserve">K116</t>
  </si>
  <si>
    <t xml:space="preserve">Chatham House</t>
  </si>
  <si>
    <t xml:space="preserve">https://www.chathamhouse.org</t>
  </si>
  <si>
    <t xml:space="preserve">K117</t>
  </si>
  <si>
    <t xml:space="preserve">BBC Türkçe</t>
  </si>
  <si>
    <t xml:space="preserve">https://www.bbc.com/turkce</t>
  </si>
  <si>
    <t xml:space="preserve">https://feeds.bbci.co.uk/turkce/rss.xml</t>
  </si>
  <si>
    <t xml:space="preserve">K118</t>
  </si>
  <si>
    <t xml:space="preserve">New York Times</t>
  </si>
  <si>
    <t xml:space="preserve">https://www.nytimes.com</t>
  </si>
  <si>
    <t xml:space="preserve">Paywall</t>
  </si>
  <si>
    <t xml:space="preserve">https://rss.nytimes.com/services/xml/rss/nyt/World.xml</t>
  </si>
  <si>
    <t xml:space="preserve">K119</t>
  </si>
  <si>
    <t xml:space="preserve">Washington Post</t>
  </si>
  <si>
    <t xml:space="preserve">https://www.washingtonpost.com</t>
  </si>
  <si>
    <t xml:space="preserve">K120</t>
  </si>
  <si>
    <t xml:space="preserve">Politico</t>
  </si>
  <si>
    <t xml:space="preserve">https://www.politico.com</t>
  </si>
  <si>
    <t xml:space="preserve">Kongre/Pentagon detayı</t>
  </si>
  <si>
    <t xml:space="preserve">K121</t>
  </si>
  <si>
    <t xml:space="preserve">Axios</t>
  </si>
  <si>
    <t xml:space="preserve">https://www.axios.com</t>
  </si>
  <si>
    <t xml:space="preserve">Kısa, kaynaklı</t>
  </si>
  <si>
    <t xml:space="preserve">K122</t>
  </si>
  <si>
    <t xml:space="preserve">Dışişleri Bakanlığı brifingleri</t>
  </si>
  <si>
    <t xml:space="preserve">https://www.state.gov/press-briefings</t>
  </si>
  <si>
    <t xml:space="preserve">K123</t>
  </si>
  <si>
    <t xml:space="preserve">CRS Reports (Kongre)</t>
  </si>
  <si>
    <t xml:space="preserve">https://crsreports.congress.gov</t>
  </si>
  <si>
    <t xml:space="preserve">Türkiye raporları periyodik</t>
  </si>
  <si>
    <t xml:space="preserve">K124</t>
  </si>
  <si>
    <t xml:space="preserve">Atlantic Council — Turkey Program</t>
  </si>
  <si>
    <t xml:space="preserve">https://www.atlanticcouncil.org/programs/atlantic-council-in-turkey/</t>
  </si>
  <si>
    <t xml:space="preserve">K125</t>
  </si>
  <si>
    <t xml:space="preserve">Washington Institute — Turkey</t>
  </si>
  <si>
    <t xml:space="preserve">https://www.washingtoninstitute.org</t>
  </si>
  <si>
    <t xml:space="preserve">İsrail yakın çerçeve</t>
  </si>
  <si>
    <t xml:space="preserve">K126</t>
  </si>
  <si>
    <t xml:space="preserve">CSIS</t>
  </si>
  <si>
    <t xml:space="preserve">https://www.csis.org</t>
  </si>
  <si>
    <t xml:space="preserve">K127</t>
  </si>
  <si>
    <t xml:space="preserve">Brookings</t>
  </si>
  <si>
    <t xml:space="preserve">https://www.brookings.edu</t>
  </si>
  <si>
    <t xml:space="preserve">K128</t>
  </si>
  <si>
    <t xml:space="preserve">GMF</t>
  </si>
  <si>
    <t xml:space="preserve">https://www.gmfus.org</t>
  </si>
  <si>
    <t xml:space="preserve">Ankara ofisi var</t>
  </si>
  <si>
    <t xml:space="preserve">K129</t>
  </si>
  <si>
    <t xml:space="preserve">Hudson Institute</t>
  </si>
  <si>
    <t xml:space="preserve">https://www.hudson.org</t>
  </si>
  <si>
    <t xml:space="preserve">Türkiye'ye eleştirel</t>
  </si>
  <si>
    <t xml:space="preserve">K130</t>
  </si>
  <si>
    <t xml:space="preserve">War on the Rocks</t>
  </si>
  <si>
    <t xml:space="preserve">https://warontherocks.com</t>
  </si>
  <si>
    <t xml:space="preserve">Savunma analizi</t>
  </si>
  <si>
    <t xml:space="preserve">K131</t>
  </si>
  <si>
    <t xml:space="preserve">Global Times</t>
  </si>
  <si>
    <t xml:space="preserve">https://www.globaltimes.cn</t>
  </si>
  <si>
    <t xml:space="preserve">en/zh</t>
  </si>
  <si>
    <t xml:space="preserve">Milliyetçi; resmi pozisyon göstergesi</t>
  </si>
  <si>
    <t xml:space="preserve">K132</t>
  </si>
  <si>
    <t xml:space="preserve">Xinhua</t>
  </si>
  <si>
    <t xml:space="preserve">https://english.news.cn</t>
  </si>
  <si>
    <t xml:space="preserve">zh/en</t>
  </si>
  <si>
    <t xml:space="preserve">K133</t>
  </si>
  <si>
    <t xml:space="preserve">SCMP</t>
  </si>
  <si>
    <t xml:space="preserve">https://www.scmp.com</t>
  </si>
  <si>
    <t xml:space="preserve">Hong Kong; görece bağımsız</t>
  </si>
  <si>
    <t xml:space="preserve">https://www.scmp.com/rss/91/feed</t>
  </si>
  <si>
    <t xml:space="preserve">K134</t>
  </si>
  <si>
    <t xml:space="preserve">China Daily</t>
  </si>
  <si>
    <t xml:space="preserve">https://www.chinadaily.com.cn</t>
  </si>
  <si>
    <t xml:space="preserve">K135</t>
  </si>
  <si>
    <t xml:space="preserve">Caixin</t>
  </si>
  <si>
    <t xml:space="preserve">https://www.caixinglobal.com</t>
  </si>
  <si>
    <t xml:space="preserve">K136</t>
  </si>
  <si>
    <t xml:space="preserve">The Diplomat</t>
  </si>
  <si>
    <t xml:space="preserve">https://thediplomat.com</t>
  </si>
  <si>
    <t xml:space="preserve">Asya-Pasifik; Türkiye-Çin yazıları</t>
  </si>
  <si>
    <t xml:space="preserve">K137</t>
  </si>
  <si>
    <t xml:space="preserve">MERICS</t>
  </si>
  <si>
    <t xml:space="preserve">https://merics.org</t>
  </si>
  <si>
    <t xml:space="preserve">Berlin; Çin politikası</t>
  </si>
  <si>
    <t xml:space="preserve">K138</t>
  </si>
  <si>
    <t xml:space="preserve">The Hindu</t>
  </si>
  <si>
    <t xml:space="preserve">https://www.thehindu.com</t>
  </si>
  <si>
    <t xml:space="preserve">https://www.thehindu.com/news/international/feeder/default.rss</t>
  </si>
  <si>
    <t xml:space="preserve">K139</t>
  </si>
  <si>
    <t xml:space="preserve">Indian Express</t>
  </si>
  <si>
    <t xml:space="preserve">https://indianexpress.com</t>
  </si>
  <si>
    <t xml:space="preserve">K140</t>
  </si>
  <si>
    <t xml:space="preserve">The Print</t>
  </si>
  <si>
    <t xml:space="preserve">https://theprint.in</t>
  </si>
  <si>
    <t xml:space="preserve">K141</t>
  </si>
  <si>
    <t xml:space="preserve">Hindustan Times</t>
  </si>
  <si>
    <t xml:space="preserve">https://www.hindustantimes.com</t>
  </si>
  <si>
    <t xml:space="preserve">K142</t>
  </si>
  <si>
    <t xml:space="preserve">ORF</t>
  </si>
  <si>
    <t xml:space="preserve">https://www.orfonline.org</t>
  </si>
  <si>
    <t xml:space="preserve">Türkiye-Pakistan ekseni yazıları</t>
  </si>
  <si>
    <t xml:space="preserve">K143</t>
  </si>
  <si>
    <t xml:space="preserve">WION</t>
  </si>
  <si>
    <t xml:space="preserve">https://www.wionews.com</t>
  </si>
  <si>
    <t xml:space="preserve">Türkiye'ye sert çerçeve</t>
  </si>
  <si>
    <t xml:space="preserve">K144</t>
  </si>
  <si>
    <t xml:space="preserve">Pakistan</t>
  </si>
  <si>
    <t xml:space="preserve">Dawn</t>
  </si>
  <si>
    <t xml:space="preserve">https://www.dawn.com</t>
  </si>
  <si>
    <t xml:space="preserve">https://www.dawn.com/feeds/home</t>
  </si>
  <si>
    <t xml:space="preserve">Türkiye-Pakistan savunma ekseni</t>
  </si>
  <si>
    <t xml:space="preserve">K145</t>
  </si>
  <si>
    <t xml:space="preserve">Japonya/Kore</t>
  </si>
  <si>
    <t xml:space="preserve">Nikkei Asia</t>
  </si>
  <si>
    <t xml:space="preserve">https://asia.nikkei.com</t>
  </si>
  <si>
    <t xml:space="preserve">K146</t>
  </si>
  <si>
    <t xml:space="preserve">Afrika (bölgesel)</t>
  </si>
  <si>
    <t xml:space="preserve">The Africa Report</t>
  </si>
  <si>
    <t xml:space="preserve">https://www.theafricareport.com</t>
  </si>
  <si>
    <t xml:space="preserve">Jeune Afrique grubu</t>
  </si>
  <si>
    <t xml:space="preserve">K147</t>
  </si>
  <si>
    <t xml:space="preserve">African Arguments</t>
  </si>
  <si>
    <t xml:space="preserve">https://africanarguments.org</t>
  </si>
  <si>
    <t xml:space="preserve">K148</t>
  </si>
  <si>
    <t xml:space="preserve">Jeune Afrique</t>
  </si>
  <si>
    <t xml:space="preserve">https://www.jeuneafrique.com</t>
  </si>
  <si>
    <t xml:space="preserve">fr</t>
  </si>
  <si>
    <t xml:space="preserve">Frankofon Afrika</t>
  </si>
  <si>
    <t xml:space="preserve">K149</t>
  </si>
  <si>
    <t xml:space="preserve">ISS Africa</t>
  </si>
  <si>
    <t xml:space="preserve">https://issafrica.org</t>
  </si>
  <si>
    <t xml:space="preserve">Güvenlik</t>
  </si>
  <si>
    <t xml:space="preserve">K150</t>
  </si>
  <si>
    <t xml:space="preserve">The East African</t>
  </si>
  <si>
    <t xml:space="preserve">https://www.theeastafrican.co.ke</t>
  </si>
  <si>
    <t xml:space="preserve">Nairobi</t>
  </si>
  <si>
    <t xml:space="preserve">K151</t>
  </si>
  <si>
    <t xml:space="preserve">Somali</t>
  </si>
  <si>
    <t xml:space="preserve">Hiiraan Online</t>
  </si>
  <si>
    <t xml:space="preserve">https://www.hiiraan.com</t>
  </si>
  <si>
    <t xml:space="preserve">so/en</t>
  </si>
  <si>
    <t xml:space="preserve">Türkiye'nin en derin Afrika ayak izi</t>
  </si>
  <si>
    <t xml:space="preserve">K152</t>
  </si>
  <si>
    <t xml:space="preserve">Garowe Online</t>
  </si>
  <si>
    <t xml:space="preserve">https://www.garoweonline.com</t>
  </si>
  <si>
    <t xml:space="preserve">Puntland</t>
  </si>
  <si>
    <t xml:space="preserve">K153</t>
  </si>
  <si>
    <t xml:space="preserve">Etiyopya</t>
  </si>
  <si>
    <t xml:space="preserve">Addis Standard</t>
  </si>
  <si>
    <t xml:space="preserve">https://addisstandard.com</t>
  </si>
  <si>
    <t xml:space="preserve">en/am</t>
  </si>
  <si>
    <t xml:space="preserve">K154</t>
  </si>
  <si>
    <t xml:space="preserve">Sudan</t>
  </si>
  <si>
    <t xml:space="preserve">Sudan Tribune</t>
  </si>
  <si>
    <t xml:space="preserve">https://sudantribune.com</t>
  </si>
  <si>
    <t xml:space="preserve">K155</t>
  </si>
  <si>
    <t xml:space="preserve">Nijerya</t>
  </si>
  <si>
    <t xml:space="preserve">Premium Times</t>
  </si>
  <si>
    <t xml:space="preserve">https://www.premiumtimesng.com</t>
  </si>
  <si>
    <t xml:space="preserve">K156</t>
  </si>
  <si>
    <t xml:space="preserve">Cezayir</t>
  </si>
  <si>
    <t xml:space="preserve">TSA (Tout sur l'Algérie)</t>
  </si>
  <si>
    <t xml:space="preserve">https://www.tsa-algerie.com</t>
  </si>
  <si>
    <t xml:space="preserve">K157</t>
  </si>
  <si>
    <t xml:space="preserve">Senegal</t>
  </si>
  <si>
    <t xml:space="preserve">Seneweb</t>
  </si>
  <si>
    <t xml:space="preserve">https://www.seneweb.com</t>
  </si>
  <si>
    <t xml:space="preserve">K158</t>
  </si>
  <si>
    <t xml:space="preserve">Anadolu Ajansı</t>
  </si>
  <si>
    <t xml:space="preserve">https://www.aa.com.tr</t>
  </si>
  <si>
    <t xml:space="preserve">tr/en/ar + 10 dil</t>
  </si>
  <si>
    <t xml:space="preserve">Resmi pozisyon; hacim yüksek</t>
  </si>
  <si>
    <t xml:space="preserve">https://www.aa.com.tr/tr/rss/default?cat=guncel</t>
  </si>
  <si>
    <t xml:space="preserve">K159</t>
  </si>
  <si>
    <t xml:space="preserve">Dışişleri Bakanlığı</t>
  </si>
  <si>
    <t xml:space="preserve">https://www.mfa.gov.tr</t>
  </si>
  <si>
    <t xml:space="preserve">tr/en</t>
  </si>
  <si>
    <t xml:space="preserve">Açıklamalar, ziyaretler</t>
  </si>
  <si>
    <t xml:space="preserve">K160</t>
  </si>
  <si>
    <t xml:space="preserve">MSB</t>
  </si>
  <si>
    <t xml:space="preserve">https://www.msb.gov.tr</t>
  </si>
  <si>
    <t xml:space="preserve">Haftalık brifing</t>
  </si>
  <si>
    <t xml:space="preserve">K161</t>
  </si>
  <si>
    <t xml:space="preserve">TRT World / TRT Haber</t>
  </si>
  <si>
    <t xml:space="preserve">https://www.trtworld.com</t>
  </si>
  <si>
    <t xml:space="preserve">K162</t>
  </si>
  <si>
    <t xml:space="preserve">ORSAM</t>
  </si>
  <si>
    <t xml:space="preserve">https://www.orsam.org.tr</t>
  </si>
  <si>
    <t xml:space="preserve">tr/en/ar</t>
  </si>
  <si>
    <t xml:space="preserve">Orta Doğu</t>
  </si>
  <si>
    <t xml:space="preserve">K163</t>
  </si>
  <si>
    <t xml:space="preserve">SETA</t>
  </si>
  <si>
    <t xml:space="preserve">https://www.setav.org</t>
  </si>
  <si>
    <t xml:space="preserve">K164</t>
  </si>
  <si>
    <t xml:space="preserve">EDAM</t>
  </si>
  <si>
    <t xml:space="preserve">https://edam.org.tr</t>
  </si>
  <si>
    <t xml:space="preserve">Güvenlik, bağımsız</t>
  </si>
  <si>
    <t xml:space="preserve">K165</t>
  </si>
  <si>
    <t xml:space="preserve">TEPAV</t>
  </si>
  <si>
    <t xml:space="preserve">https://www.tepav.org.tr</t>
  </si>
  <si>
    <t xml:space="preserve">K166</t>
  </si>
  <si>
    <t xml:space="preserve">Türkiye Dış Politika Enstitüsü / Panorama (Koç Üni.)</t>
  </si>
  <si>
    <t xml:space="preserve">https://www.uikpanorama.com</t>
  </si>
  <si>
    <t xml:space="preserve">Akademik</t>
  </si>
  <si>
    <t xml:space="preserve">Bağımsız analiz</t>
  </si>
  <si>
    <t xml:space="preserve">K167</t>
  </si>
  <si>
    <t xml:space="preserve">DEİK</t>
  </si>
  <si>
    <t xml:space="preserve">https://www.deik.org.tr</t>
  </si>
  <si>
    <t xml:space="preserve">İş dünyası</t>
  </si>
  <si>
    <t xml:space="preserve">Ülke iş konseyleri</t>
  </si>
  <si>
    <t xml:space="preserve">K168</t>
  </si>
  <si>
    <t xml:space="preserve">P</t>
  </si>
  <si>
    <t xml:space="preserve">Reuters</t>
  </si>
  <si>
    <t xml:space="preserve">https://www.reuters.com</t>
  </si>
  <si>
    <t xml:space="preserve">Ajans</t>
  </si>
  <si>
    <t xml:space="preserve">Kümeleme çapası</t>
  </si>
  <si>
    <t xml:space="preserve">GNews</t>
  </si>
  <si>
    <t xml:space="preserve">RSS kısıtlı; Google News filtresi</t>
  </si>
  <si>
    <t xml:space="preserve">K169</t>
  </si>
  <si>
    <t xml:space="preserve">AP / AFP</t>
  </si>
  <si>
    <t xml:space="preserve">https://apnews.com</t>
  </si>
  <si>
    <t xml:space="preserve">K170</t>
  </si>
  <si>
    <t xml:space="preserve">Financial Times</t>
  </si>
  <si>
    <t xml:space="preserve">https://www.ft.com</t>
  </si>
  <si>
    <t xml:space="preserve">Premium</t>
  </si>
  <si>
    <t xml:space="preserve">Gmail bülten</t>
  </si>
  <si>
    <t xml:space="preserve">Premium bağlam</t>
  </si>
  <si>
    <t xml:space="preserve">Gmail etiketi: Kaynak/Premium/FT</t>
  </si>
  <si>
    <t xml:space="preserve">K171</t>
  </si>
  <si>
    <t xml:space="preserve">Bloomberg</t>
  </si>
  <si>
    <t xml:space="preserve">https://www.bloomberg.com</t>
  </si>
  <si>
    <t xml:space="preserve">Gmail etiketi: Kaynak/Premium/Bloomberg</t>
  </si>
  <si>
    <t xml:space="preserve">K172</t>
  </si>
  <si>
    <t xml:space="preserve">Wall Street Journal</t>
  </si>
  <si>
    <t xml:space="preserve">https://www.wsj.com</t>
  </si>
  <si>
    <t xml:space="preserve">Gmail etiketi: Kaynak/Premium/WSJ</t>
  </si>
  <si>
    <t xml:space="preserve">K173</t>
  </si>
  <si>
    <t xml:space="preserve">The Economist</t>
  </si>
  <si>
    <t xml:space="preserve">https://www.economist.com</t>
  </si>
  <si>
    <t xml:space="preserve">Gmail etiketi: Kaynak/Premium/Economist</t>
  </si>
  <si>
    <t xml:space="preserve">K174</t>
  </si>
  <si>
    <t xml:space="preserve">Foreign Affairs</t>
  </si>
  <si>
    <t xml:space="preserve">https://www.foreignaffairs.com</t>
  </si>
  <si>
    <t xml:space="preserve">Dergi</t>
  </si>
  <si>
    <t xml:space="preserve">RSS başlık/özet açık</t>
  </si>
  <si>
    <t xml:space="preserve">https://www.foreignaffairs.com/rss.xml</t>
  </si>
  <si>
    <t xml:space="preserve">K175</t>
  </si>
  <si>
    <t xml:space="preserve">Foreign Policy</t>
  </si>
  <si>
    <t xml:space="preserve">https://foreignpolicy.com</t>
  </si>
  <si>
    <t xml:space="preserve">RSS + bültenler</t>
  </si>
  <si>
    <t xml:space="preserve">https://foreignpolicy.com/feed/</t>
  </si>
  <si>
    <t xml:space="preserve">K176</t>
  </si>
  <si>
    <t xml:space="preserve">International Crisis Group</t>
  </si>
  <si>
    <t xml:space="preserve">https://www.crisisgroup.org</t>
  </si>
  <si>
    <t xml:space="preserve">Türkiye dosyası var</t>
  </si>
  <si>
    <t xml:space="preserve">K177</t>
  </si>
  <si>
    <t xml:space="preserve">İRAM (İran Araştırmaları Merkezi)</t>
  </si>
  <si>
    <t xml:space="preserve">https://iramcenter.org</t>
  </si>
  <si>
    <t xml:space="preserve">tr/en/fa</t>
  </si>
  <si>
    <t xml:space="preserve">İran uzmanlığı; Farsça basın taraması</t>
  </si>
  <si>
    <t xml:space="preserve">İran dosyasının Türk tarafı</t>
  </si>
  <si>
    <t xml:space="preserve">K178</t>
  </si>
  <si>
    <t xml:space="preserve">AVİM</t>
  </si>
  <si>
    <t xml:space="preserve">https://avim.org.tr</t>
  </si>
  <si>
    <t xml:space="preserve">Kafkasya, Ermenistan, Balkanlar; devlet çizgisine yakın</t>
  </si>
  <si>
    <t xml:space="preserve">K179</t>
  </si>
  <si>
    <t xml:space="preserve">İKV (İktisadi Kalkınma Vakfı)</t>
  </si>
  <si>
    <t xml:space="preserve">https://www.ikv.org.tr</t>
  </si>
  <si>
    <t xml:space="preserve">AB-Türkiye ilişkileri; haftalık AB bülteni</t>
  </si>
  <si>
    <t xml:space="preserve">AB dosyasının Türk tarafı</t>
  </si>
  <si>
    <t xml:space="preserve">K180</t>
  </si>
  <si>
    <t xml:space="preserve">SAM (Dışişleri Stratejik Araştırmalar Merkezi)</t>
  </si>
  <si>
    <t xml:space="preserve">https://sam.gov.tr</t>
  </si>
  <si>
    <t xml:space="preserve">Bakanlık bünyesinde; Perceptions dergisi</t>
  </si>
  <si>
    <t xml:space="preserve">K181</t>
  </si>
  <si>
    <t xml:space="preserve">SDE (Stratejik Düşünce Enstitüsü)</t>
  </si>
  <si>
    <t xml:space="preserve">https://www.sde.org.tr</t>
  </si>
  <si>
    <t xml:space="preserve">K182</t>
  </si>
  <si>
    <t xml:space="preserve">TASAM</t>
  </si>
  <si>
    <t xml:space="preserve">https://tasam.org</t>
  </si>
  <si>
    <t xml:space="preserve">Afrika, Asya forumları</t>
  </si>
  <si>
    <t xml:space="preserve">K183</t>
  </si>
  <si>
    <t xml:space="preserve">İSTANPOL</t>
  </si>
  <si>
    <t xml:space="preserve">https://istanpol.org</t>
  </si>
  <si>
    <t xml:space="preserve">Bağımsız; dış politika ve demokrasi</t>
  </si>
  <si>
    <t xml:space="preserve">K184</t>
  </si>
  <si>
    <t xml:space="preserve">Ankara Politikalar Merkezi (APM)</t>
  </si>
  <si>
    <t xml:space="preserve">https://apm.org.tr</t>
  </si>
  <si>
    <t xml:space="preserve">Orta Asya, Kafkasya, Afrika</t>
  </si>
  <si>
    <t xml:space="preserve">K185</t>
  </si>
  <si>
    <t xml:space="preserve">Afrika Araştırmacıları Derneği (AFAM)</t>
  </si>
  <si>
    <t xml:space="preserve">https://afam.org.tr</t>
  </si>
  <si>
    <t xml:space="preserve">K186</t>
  </si>
  <si>
    <t xml:space="preserve">Ortadoğu ve Afrika Araştırmacıları Derneği (ORDAF)</t>
  </si>
  <si>
    <t xml:space="preserve">https://ordaf.org</t>
  </si>
  <si>
    <t xml:space="preserve">Orta Doğu, Afrika</t>
  </si>
  <si>
    <t xml:space="preserve">K187</t>
  </si>
  <si>
    <t xml:space="preserve">Carnegie / GMF Ankara yazarları</t>
  </si>
  <si>
    <t xml:space="preserve">https://www.gmfus.org/ankara</t>
  </si>
  <si>
    <t xml:space="preserve">Yabancı kuruluşların Türkiye ofisleri</t>
  </si>
  <si>
    <t xml:space="preserve">K188</t>
  </si>
  <si>
    <t xml:space="preserve">Al-Bayan Center</t>
  </si>
  <si>
    <t xml:space="preserve">https://www.bayancenter.org</t>
  </si>
  <si>
    <t xml:space="preserve">Bağdat; siyasi analiz</t>
  </si>
  <si>
    <t xml:space="preserve">K189</t>
  </si>
  <si>
    <t xml:space="preserve">Rudaw Research Center</t>
  </si>
  <si>
    <t xml:space="preserve">https://www.rudaw.net/english/analysis</t>
  </si>
  <si>
    <t xml:space="preserve">en/ku</t>
  </si>
  <si>
    <t xml:space="preserve">Erbil</t>
  </si>
  <si>
    <t xml:space="preserve">K190</t>
  </si>
  <si>
    <t xml:space="preserve">Harmoon Center</t>
  </si>
  <si>
    <t xml:space="preserve">https://www.harmoon.org</t>
  </si>
  <si>
    <t xml:space="preserve">Doha/İstanbul</t>
  </si>
  <si>
    <t xml:space="preserve">K191</t>
  </si>
  <si>
    <t xml:space="preserve">COAR Global</t>
  </si>
  <si>
    <t xml:space="preserve">https://coar-global.org</t>
  </si>
  <si>
    <t xml:space="preserve">Haftalık Suriye güncellemesi</t>
  </si>
  <si>
    <t xml:space="preserve">K192</t>
  </si>
  <si>
    <t xml:space="preserve">Carnegie Middle East Center</t>
  </si>
  <si>
    <t xml:space="preserve">https://carnegie-mec.org</t>
  </si>
  <si>
    <t xml:space="preserve">K193</t>
  </si>
  <si>
    <t xml:space="preserve">Arab Reform Initiative</t>
  </si>
  <si>
    <t xml:space="preserve">https://www.arab-reform.net</t>
  </si>
  <si>
    <t xml:space="preserve">en/ar/fr</t>
  </si>
  <si>
    <t xml:space="preserve">Paris/Beyrut</t>
  </si>
  <si>
    <t xml:space="preserve">K194</t>
  </si>
  <si>
    <t xml:space="preserve">BESA Center</t>
  </si>
  <si>
    <t xml:space="preserve">https://besacenter.org</t>
  </si>
  <si>
    <t xml:space="preserve">en/he</t>
  </si>
  <si>
    <t xml:space="preserve">Bar-Ilan; sağ; Türkiye'ye sert</t>
  </si>
  <si>
    <t xml:space="preserve">İsrail sağının Türkiye okuması</t>
  </si>
  <si>
    <t xml:space="preserve">K195</t>
  </si>
  <si>
    <t xml:space="preserve">Moshe Dayan Center (Tel Aviv Üni.)</t>
  </si>
  <si>
    <t xml:space="preserve">https://dayan.org</t>
  </si>
  <si>
    <t xml:space="preserve">Türkiye programı ve Turkeyscope bülteni</t>
  </si>
  <si>
    <t xml:space="preserve">K196</t>
  </si>
  <si>
    <t xml:space="preserve">JCPA</t>
  </si>
  <si>
    <t xml:space="preserve">https://jcpa.org</t>
  </si>
  <si>
    <t xml:space="preserve">Kudüs; sağ</t>
  </si>
  <si>
    <t xml:space="preserve">K197</t>
  </si>
  <si>
    <t xml:space="preserve">Mitvim</t>
  </si>
  <si>
    <t xml:space="preserve">https://mitvim.org.il</t>
  </si>
  <si>
    <t xml:space="preserve">Bölgesel diplomasi; Türkiye-İsrail normalleşme</t>
  </si>
  <si>
    <t xml:space="preserve">K198</t>
  </si>
  <si>
    <t xml:space="preserve">IDIS (Panteion)</t>
  </si>
  <si>
    <t xml:space="preserve">https://idis.gr</t>
  </si>
  <si>
    <t xml:space="preserve">Uluslararası ilişkiler</t>
  </si>
  <si>
    <t xml:space="preserve">K199</t>
  </si>
  <si>
    <t xml:space="preserve">Kathimerini analiz / Hellenic Observatory (LSE)</t>
  </si>
  <si>
    <t xml:space="preserve">https://www.lse.ac.uk/Hellenic-Observatory</t>
  </si>
  <si>
    <t xml:space="preserve">Londra</t>
  </si>
  <si>
    <t xml:space="preserve">K200</t>
  </si>
  <si>
    <t xml:space="preserve">PRIO Cyprus Centre</t>
  </si>
  <si>
    <t xml:space="preserve">https://cyprus.prio.org</t>
  </si>
  <si>
    <t xml:space="preserve">en/el/tr</t>
  </si>
  <si>
    <t xml:space="preserve">Lefkoşa; iki toplumlu araştırma</t>
  </si>
  <si>
    <t xml:space="preserve">K201</t>
  </si>
  <si>
    <t xml:space="preserve">Al-Ahram Center for Political &amp; Strategic Studies</t>
  </si>
  <si>
    <t xml:space="preserve">https://acpss.ahram.org.eg</t>
  </si>
  <si>
    <t xml:space="preserve">K202</t>
  </si>
  <si>
    <t xml:space="preserve">Egyptian Institute for Studies</t>
  </si>
  <si>
    <t xml:space="preserve">https://en.eipss-eg.org</t>
  </si>
  <si>
    <t xml:space="preserve">İstanbul; muhalefet kökenli</t>
  </si>
  <si>
    <t xml:space="preserve">K203</t>
  </si>
  <si>
    <t xml:space="preserve">IPIS (Dışişleri)</t>
  </si>
  <si>
    <t xml:space="preserve">https://www.ipis.ir</t>
  </si>
  <si>
    <t xml:space="preserve">K204</t>
  </si>
  <si>
    <t xml:space="preserve">Center for Strategic Research (CSR)</t>
  </si>
  <si>
    <t xml:space="preserve">https://www.csr.ir</t>
  </si>
  <si>
    <t xml:space="preserve">Düzenin Yararını Teşhis Konseyi</t>
  </si>
  <si>
    <t xml:space="preserve">K205</t>
  </si>
  <si>
    <t xml:space="preserve">King Faisal Center (KFCRIS)</t>
  </si>
  <si>
    <t xml:space="preserve">https://www.kfcris.com</t>
  </si>
  <si>
    <t xml:space="preserve">Riyad</t>
  </si>
  <si>
    <t xml:space="preserve">K206</t>
  </si>
  <si>
    <t xml:space="preserve">Rasanah (IIIS)</t>
  </si>
  <si>
    <t xml:space="preserve">https://rasanah-iiis.org</t>
  </si>
  <si>
    <t xml:space="preserve">Riyad; İran odaklı</t>
  </si>
  <si>
    <t xml:space="preserve">K207</t>
  </si>
  <si>
    <t xml:space="preserve">K208</t>
  </si>
  <si>
    <t xml:space="preserve">Al Jazeera Centre for Studies</t>
  </si>
  <si>
    <t xml:space="preserve">https://studies.aljazeera.net</t>
  </si>
  <si>
    <t xml:space="preserve">Doha</t>
  </si>
  <si>
    <t xml:space="preserve">K209</t>
  </si>
  <si>
    <t xml:space="preserve">Arab Center Washington DC</t>
  </si>
  <si>
    <t xml:space="preserve">https://arabcenterdc.org</t>
  </si>
  <si>
    <t xml:space="preserve">Katar bağlantılı</t>
  </si>
  <si>
    <t xml:space="preserve">K210</t>
  </si>
  <si>
    <t xml:space="preserve">TRENDS Research</t>
  </si>
  <si>
    <t xml:space="preserve">https://trendsresearch.org</t>
  </si>
  <si>
    <t xml:space="preserve">Abu Dabi; BAE çizgisi</t>
  </si>
  <si>
    <t xml:space="preserve">K211</t>
  </si>
  <si>
    <t xml:space="preserve">Emirates Policy Center</t>
  </si>
  <si>
    <t xml:space="preserve">https://epc.ae</t>
  </si>
  <si>
    <t xml:space="preserve">Abu Dabi</t>
  </si>
  <si>
    <t xml:space="preserve">K212</t>
  </si>
  <si>
    <t xml:space="preserve">AGSIW</t>
  </si>
  <si>
    <t xml:space="preserve">https://agsiw.org</t>
  </si>
  <si>
    <t xml:space="preserve">Washington; Körfez</t>
  </si>
  <si>
    <t xml:space="preserve">K213</t>
  </si>
  <si>
    <t xml:space="preserve">AIR Center</t>
  </si>
  <si>
    <t xml:space="preserve">https://aircenter.az</t>
  </si>
  <si>
    <t xml:space="preserve">K214</t>
  </si>
  <si>
    <t xml:space="preserve">Topchubashov Center</t>
  </si>
  <si>
    <t xml:space="preserve">https://top-center.org</t>
  </si>
  <si>
    <t xml:space="preserve">az/en</t>
  </si>
  <si>
    <t xml:space="preserve">K215</t>
  </si>
  <si>
    <t xml:space="preserve">Baku Research Institute</t>
  </si>
  <si>
    <t xml:space="preserve">https://bakuresearchinstitute.org</t>
  </si>
  <si>
    <t xml:space="preserve">K216</t>
  </si>
  <si>
    <t xml:space="preserve">APRI Armenia</t>
  </si>
  <si>
    <t xml:space="preserve">https://apri.institute</t>
  </si>
  <si>
    <t xml:space="preserve">Yerevan; bağımsız</t>
  </si>
  <si>
    <t xml:space="preserve">K217</t>
  </si>
  <si>
    <t xml:space="preserve">Regional Studies Center</t>
  </si>
  <si>
    <t xml:space="preserve">https://regional-studies.org</t>
  </si>
  <si>
    <t xml:space="preserve">Yerevan</t>
  </si>
  <si>
    <t xml:space="preserve">K218</t>
  </si>
  <si>
    <t xml:space="preserve">Orbeli Center</t>
  </si>
  <si>
    <t xml:space="preserve">https://orbeli.am</t>
  </si>
  <si>
    <t xml:space="preserve">K219</t>
  </si>
  <si>
    <t xml:space="preserve">Georgian Institute of Politics</t>
  </si>
  <si>
    <t xml:space="preserve">https://gip.ge</t>
  </si>
  <si>
    <t xml:space="preserve">en/ka</t>
  </si>
  <si>
    <t xml:space="preserve">Tiflis</t>
  </si>
  <si>
    <t xml:space="preserve">K220</t>
  </si>
  <si>
    <t xml:space="preserve">RIAC</t>
  </si>
  <si>
    <t xml:space="preserve">https://russiancouncil.ru</t>
  </si>
  <si>
    <t xml:space="preserve">Dışişleri yakın; Türkiye yazıları düzenli</t>
  </si>
  <si>
    <t xml:space="preserve">K221</t>
  </si>
  <si>
    <t xml:space="preserve">Valdai Club</t>
  </si>
  <si>
    <t xml:space="preserve">https://valdaiclub.com</t>
  </si>
  <si>
    <t xml:space="preserve">Kremlin yakın</t>
  </si>
  <si>
    <t xml:space="preserve">K222</t>
  </si>
  <si>
    <t xml:space="preserve">IMEMO</t>
  </si>
  <si>
    <t xml:space="preserve">https://www.imemo.ru</t>
  </si>
  <si>
    <t xml:space="preserve">Akademi</t>
  </si>
  <si>
    <t xml:space="preserve">K223</t>
  </si>
  <si>
    <t xml:space="preserve">Re:Russia / Riddle</t>
  </si>
  <si>
    <t xml:space="preserve">https://ridl.io</t>
  </si>
  <si>
    <t xml:space="preserve">Sürgün analiz</t>
  </si>
  <si>
    <t xml:space="preserve">K224</t>
  </si>
  <si>
    <t xml:space="preserve">New Europe Center</t>
  </si>
  <si>
    <t xml:space="preserve">https://neweurope.org.ua</t>
  </si>
  <si>
    <t xml:space="preserve">Kiev; dış politika</t>
  </si>
  <si>
    <t xml:space="preserve">K225</t>
  </si>
  <si>
    <t xml:space="preserve">Ukrainian Prism</t>
  </si>
  <si>
    <t xml:space="preserve">https://prismua.org</t>
  </si>
  <si>
    <t xml:space="preserve">Kiev</t>
  </si>
  <si>
    <t xml:space="preserve">K226</t>
  </si>
  <si>
    <t xml:space="preserve">Ukrainian Institute for the Future</t>
  </si>
  <si>
    <t xml:space="preserve">https://uifuture.org</t>
  </si>
  <si>
    <t xml:space="preserve">K227</t>
  </si>
  <si>
    <t xml:space="preserve">CEPA (Center for European Policy Analysis)</t>
  </si>
  <si>
    <t xml:space="preserve">https://cepa.org</t>
  </si>
  <si>
    <t xml:space="preserve">Washington; Karadeniz programı</t>
  </si>
  <si>
    <t xml:space="preserve">K228</t>
  </si>
  <si>
    <t xml:space="preserve">EUISS</t>
  </si>
  <si>
    <t xml:space="preserve">https://www.iss.europa.eu</t>
  </si>
  <si>
    <t xml:space="preserve">AB kurumu</t>
  </si>
  <si>
    <t xml:space="preserve">K229</t>
  </si>
  <si>
    <t xml:space="preserve">Bruegel</t>
  </si>
  <si>
    <t xml:space="preserve">https://www.bruegel.org</t>
  </si>
  <si>
    <t xml:space="preserve">Ekonomi; gümrük birliği</t>
  </si>
  <si>
    <t xml:space="preserve">K230</t>
  </si>
  <si>
    <t xml:space="preserve">Clingendael</t>
  </si>
  <si>
    <t xml:space="preserve">https://www.clingendael.org</t>
  </si>
  <si>
    <t xml:space="preserve">en/nl</t>
  </si>
  <si>
    <t xml:space="preserve">Lahey</t>
  </si>
  <si>
    <t xml:space="preserve">K231</t>
  </si>
  <si>
    <t xml:space="preserve">Egmont Institute</t>
  </si>
  <si>
    <t xml:space="preserve">https://www.egmontinstitute.be</t>
  </si>
  <si>
    <t xml:space="preserve">K232</t>
  </si>
  <si>
    <t xml:space="preserve">İtalya</t>
  </si>
  <si>
    <t xml:space="preserve">IAI (Istituto Affari Internazionali)</t>
  </si>
  <si>
    <t xml:space="preserve">https://www.iai.it</t>
  </si>
  <si>
    <t xml:space="preserve">it/en</t>
  </si>
  <si>
    <t xml:space="preserve">Roma; Türkiye-Akdeniz yazıları</t>
  </si>
  <si>
    <t xml:space="preserve">K233</t>
  </si>
  <si>
    <t xml:space="preserve">ISPI</t>
  </si>
  <si>
    <t xml:space="preserve">https://www.ispionline.it</t>
  </si>
  <si>
    <t xml:space="preserve">Milano</t>
  </si>
  <si>
    <t xml:space="preserve">K234</t>
  </si>
  <si>
    <t xml:space="preserve">DGAP</t>
  </si>
  <si>
    <t xml:space="preserve">https://dgap.org</t>
  </si>
  <si>
    <t xml:space="preserve">K235</t>
  </si>
  <si>
    <t xml:space="preserve">Konrad Adenauer Stiftung — Türkiye</t>
  </si>
  <si>
    <t xml:space="preserve">https://www.kas.de/tr/web/tuerkei</t>
  </si>
  <si>
    <t xml:space="preserve">Ankara ofisi</t>
  </si>
  <si>
    <t xml:space="preserve">K236</t>
  </si>
  <si>
    <t xml:space="preserve">Friedrich Ebert Stiftung — Türkiye</t>
  </si>
  <si>
    <t xml:space="preserve">https://turkey.fes.de</t>
  </si>
  <si>
    <t xml:space="preserve">İstanbul ofisi</t>
  </si>
  <si>
    <t xml:space="preserve">K237</t>
  </si>
  <si>
    <t xml:space="preserve">Institut Montaigne</t>
  </si>
  <si>
    <t xml:space="preserve">https://www.institutmontaigne.org</t>
  </si>
  <si>
    <t xml:space="preserve">K238</t>
  </si>
  <si>
    <t xml:space="preserve">RUSI</t>
  </si>
  <si>
    <t xml:space="preserve">https://rusi.org</t>
  </si>
  <si>
    <t xml:space="preserve">Savunma</t>
  </si>
  <si>
    <t xml:space="preserve">K239</t>
  </si>
  <si>
    <t xml:space="preserve">IISS</t>
  </si>
  <si>
    <t xml:space="preserve">https://www.iiss.org</t>
  </si>
  <si>
    <t xml:space="preserve">Savunma; Military Balance</t>
  </si>
  <si>
    <t xml:space="preserve">K240</t>
  </si>
  <si>
    <t xml:space="preserve">RAND</t>
  </si>
  <si>
    <t xml:space="preserve">https://www.rand.org</t>
  </si>
  <si>
    <t xml:space="preserve">K241</t>
  </si>
  <si>
    <t xml:space="preserve">Wilson Center</t>
  </si>
  <si>
    <t xml:space="preserve">https://www.wilsoncenter.org</t>
  </si>
  <si>
    <t xml:space="preserve">K242</t>
  </si>
  <si>
    <t xml:space="preserve">Carnegie Endowment</t>
  </si>
  <si>
    <t xml:space="preserve">https://carnegieendowment.org</t>
  </si>
  <si>
    <t xml:space="preserve">Türkiye yazarları var</t>
  </si>
  <si>
    <t xml:space="preserve">K243</t>
  </si>
  <si>
    <t xml:space="preserve">CFR</t>
  </si>
  <si>
    <t xml:space="preserve">https://www.cfr.org</t>
  </si>
  <si>
    <t xml:space="preserve">K244</t>
  </si>
  <si>
    <t xml:space="preserve">FDD</t>
  </si>
  <si>
    <t xml:space="preserve">https://www.fdd.org</t>
  </si>
  <si>
    <t xml:space="preserve">Şahin; Türkiye'ye sert</t>
  </si>
  <si>
    <t xml:space="preserve">Yaptırım lobisinin sesi</t>
  </si>
  <si>
    <t xml:space="preserve">K245</t>
  </si>
  <si>
    <t xml:space="preserve">Middle East Forum</t>
  </si>
  <si>
    <t xml:space="preserve">https://www.meforum.org</t>
  </si>
  <si>
    <t xml:space="preserve">Türkiye'ye düşmanca</t>
  </si>
  <si>
    <t xml:space="preserve">K246</t>
  </si>
  <si>
    <t xml:space="preserve">SETA DC</t>
  </si>
  <si>
    <t xml:space="preserve">https://setadc.org</t>
  </si>
  <si>
    <t xml:space="preserve">SETA Washington kolu</t>
  </si>
  <si>
    <t xml:space="preserve">K247</t>
  </si>
  <si>
    <t xml:space="preserve">Stimson Center</t>
  </si>
  <si>
    <t xml:space="preserve">https://www.stimson.org</t>
  </si>
  <si>
    <t xml:space="preserve">K248</t>
  </si>
  <si>
    <t xml:space="preserve">Heritage Foundation</t>
  </si>
  <si>
    <t xml:space="preserve">https://www.heritage.org</t>
  </si>
  <si>
    <t xml:space="preserve">Muhafazakâr</t>
  </si>
  <si>
    <t xml:space="preserve">K249</t>
  </si>
  <si>
    <t xml:space="preserve">Charhar Institute</t>
  </si>
  <si>
    <t xml:space="preserve">http://www.charhar.org.cn</t>
  </si>
  <si>
    <t xml:space="preserve">Kamu diplomasisi</t>
  </si>
  <si>
    <t xml:space="preserve">K250</t>
  </si>
  <si>
    <t xml:space="preserve">CIIS</t>
  </si>
  <si>
    <t xml:space="preserve">https://www.ciis.org.cn</t>
  </si>
  <si>
    <t xml:space="preserve">Dışişleri bağlı</t>
  </si>
  <si>
    <t xml:space="preserve">K251</t>
  </si>
  <si>
    <t xml:space="preserve">SIIS (Şanghay)</t>
  </si>
  <si>
    <t xml:space="preserve">https://www.siis.org.cn</t>
  </si>
  <si>
    <t xml:space="preserve">K252</t>
  </si>
  <si>
    <t xml:space="preserve">MP-IDSA</t>
  </si>
  <si>
    <t xml:space="preserve">https://www.idsa.in</t>
  </si>
  <si>
    <t xml:space="preserve">Savunma Bakanlığı bağlı</t>
  </si>
  <si>
    <t xml:space="preserve">K253</t>
  </si>
  <si>
    <t xml:space="preserve">Carnegie India</t>
  </si>
  <si>
    <t xml:space="preserve">https://carnegieindia.org</t>
  </si>
  <si>
    <t xml:space="preserve">K254</t>
  </si>
  <si>
    <t xml:space="preserve">Gateway House</t>
  </si>
  <si>
    <t xml:space="preserve">https://www.gatewayhouse.in</t>
  </si>
  <si>
    <t xml:space="preserve">Mumbai</t>
  </si>
  <si>
    <t xml:space="preserve">K255</t>
  </si>
  <si>
    <t xml:space="preserve">ISSI</t>
  </si>
  <si>
    <t xml:space="preserve">https://issi.org.pk</t>
  </si>
  <si>
    <t xml:space="preserve">İslamabad</t>
  </si>
  <si>
    <t xml:space="preserve">K256</t>
  </si>
  <si>
    <t xml:space="preserve">SAIIA</t>
  </si>
  <si>
    <t xml:space="preserve">https://saiia.org.za</t>
  </si>
  <si>
    <t xml:space="preserve">Johannesburg</t>
  </si>
  <si>
    <t xml:space="preserve">K257</t>
  </si>
  <si>
    <t xml:space="preserve">Africa Center for Strategic Studies</t>
  </si>
  <si>
    <t xml:space="preserve">https://africacenter.org</t>
  </si>
  <si>
    <t xml:space="preserve">ABD Savunma Bak. bağlı</t>
  </si>
  <si>
    <t xml:space="preserve">K258</t>
  </si>
  <si>
    <t xml:space="preserve">Heritage Institute (Somali)</t>
  </si>
  <si>
    <t xml:space="preserve">https://heritageinstitute.org</t>
  </si>
  <si>
    <t xml:space="preserve">en/so</t>
  </si>
  <si>
    <t xml:space="preserve">Mogadişu</t>
  </si>
  <si>
    <t xml:space="preserve">K259</t>
  </si>
  <si>
    <t xml:space="preserve">Rift Valley Institute</t>
  </si>
  <si>
    <t xml:space="preserve">https://riftvalley.net</t>
  </si>
  <si>
    <t xml:space="preserve">Doğu Afrika</t>
  </si>
  <si>
    <t xml:space="preserve">Ankara</t>
  </si>
  <si>
    <t xml:space="preserve">Erdoğan</t>
  </si>
  <si>
    <t xml:space="preserve">Türk (sıfat)</t>
  </si>
  <si>
    <t xml:space="preserve">Google News edisyonu (gl/hl/ceid)</t>
  </si>
  <si>
    <t xml:space="preserve">Arapça</t>
  </si>
  <si>
    <t xml:space="preserve">تركيا</t>
  </si>
  <si>
    <t xml:space="preserve">أنقرة</t>
  </si>
  <si>
    <t xml:space="preserve">أردوغان</t>
  </si>
  <si>
    <t xml:space="preserve">تركي / التركية</t>
  </si>
  <si>
    <t xml:space="preserve">SA:ar, EG:ar, LB:ar</t>
  </si>
  <si>
    <t xml:space="preserve">Suriye/Irak/Mısır/Körfez</t>
  </si>
  <si>
    <t xml:space="preserve">İbranice</t>
  </si>
  <si>
    <t xml:space="preserve">טורקיה</t>
  </si>
  <si>
    <t xml:space="preserve">אנקרה</t>
  </si>
  <si>
    <t xml:space="preserve">ארדואן</t>
  </si>
  <si>
    <t xml:space="preserve">טורקי</t>
  </si>
  <si>
    <t xml:space="preserve">IL:he</t>
  </si>
  <si>
    <t xml:space="preserve">Yunanca</t>
  </si>
  <si>
    <t xml:space="preserve">Τουρκία</t>
  </si>
  <si>
    <t xml:space="preserve">Άγκυρα</t>
  </si>
  <si>
    <t xml:space="preserve">Ερντογάν</t>
  </si>
  <si>
    <t xml:space="preserve">τουρκικός</t>
  </si>
  <si>
    <t xml:space="preserve">GR:el, CY:el</t>
  </si>
  <si>
    <t xml:space="preserve">GKRY için CY</t>
  </si>
  <si>
    <t xml:space="preserve">Farsça</t>
  </si>
  <si>
    <t xml:space="preserve">ترکیه</t>
  </si>
  <si>
    <t xml:space="preserve">آنکارا</t>
  </si>
  <si>
    <t xml:space="preserve">اردوغان</t>
  </si>
  <si>
    <t xml:space="preserve">ترک / ترکی</t>
  </si>
  <si>
    <t xml:space="preserve">— (İran edisyonu yok; AF:fa denenebilir)</t>
  </si>
  <si>
    <t xml:space="preserve">Azerice</t>
  </si>
  <si>
    <t xml:space="preserve">Türkiyə</t>
  </si>
  <si>
    <t xml:space="preserve">Ərdoğan</t>
  </si>
  <si>
    <t xml:space="preserve">türk</t>
  </si>
  <si>
    <t xml:space="preserve">AZ:az</t>
  </si>
  <si>
    <t xml:space="preserve">Ermenice</t>
  </si>
  <si>
    <t xml:space="preserve">Թուրքիա</t>
  </si>
  <si>
    <t xml:space="preserve">Անկարա</t>
  </si>
  <si>
    <t xml:space="preserve">Էրդողան</t>
  </si>
  <si>
    <t xml:space="preserve">թուրքական</t>
  </si>
  <si>
    <t xml:space="preserve">AM:hy</t>
  </si>
  <si>
    <t xml:space="preserve">Rusça</t>
  </si>
  <si>
    <t xml:space="preserve">Турция</t>
  </si>
  <si>
    <t xml:space="preserve">Анкара</t>
  </si>
  <si>
    <t xml:space="preserve">Эрдоган</t>
  </si>
  <si>
    <t xml:space="preserve">турецкий</t>
  </si>
  <si>
    <t xml:space="preserve">RU:ru, UA:ru, KZ:ru</t>
  </si>
  <si>
    <t xml:space="preserve">Ukraynaca</t>
  </si>
  <si>
    <t xml:space="preserve">Туреччина</t>
  </si>
  <si>
    <t xml:space="preserve">Ердоган</t>
  </si>
  <si>
    <t xml:space="preserve">турецький</t>
  </si>
  <si>
    <t xml:space="preserve">UA:uk</t>
  </si>
  <si>
    <t xml:space="preserve">İngilizce</t>
  </si>
  <si>
    <t xml:space="preserve">Turkey / Türkiye</t>
  </si>
  <si>
    <t xml:space="preserve">Erdogan</t>
  </si>
  <si>
    <t xml:space="preserve">Turkish</t>
  </si>
  <si>
    <t xml:space="preserve">US:en, GB:en, IN:en, NG:en, KE:en</t>
  </si>
  <si>
    <t xml:space="preserve">İki yazım da izlenmeli</t>
  </si>
  <si>
    <t xml:space="preserve">Almanca</t>
  </si>
  <si>
    <t xml:space="preserve">Türkei</t>
  </si>
  <si>
    <t xml:space="preserve">türkisch</t>
  </si>
  <si>
    <t xml:space="preserve">DE:de</t>
  </si>
  <si>
    <t xml:space="preserve">Fransızca</t>
  </si>
  <si>
    <t xml:space="preserve">Turquie</t>
  </si>
  <si>
    <t xml:space="preserve">turc / turque</t>
  </si>
  <si>
    <t xml:space="preserve">FR:fr, SN:fr, DZ:fr</t>
  </si>
  <si>
    <t xml:space="preserve">Çince</t>
  </si>
  <si>
    <t xml:space="preserve">土耳其</t>
  </si>
  <si>
    <t xml:space="preserve">安卡拉</t>
  </si>
  <si>
    <t xml:space="preserve">埃尔多安</t>
  </si>
  <si>
    <t xml:space="preserve">土耳其的</t>
  </si>
  <si>
    <t xml:space="preserve">CN:zh-Hans, HK:zh-Hant</t>
  </si>
  <si>
    <t xml:space="preserve">Hintçe</t>
  </si>
  <si>
    <t xml:space="preserve">तुर्की</t>
  </si>
  <si>
    <t xml:space="preserve">अंकारा</t>
  </si>
  <si>
    <t xml:space="preserve">एर्दोगन</t>
  </si>
  <si>
    <t xml:space="preserve">IN:hi</t>
  </si>
  <si>
    <t xml:space="preserve">Somalice</t>
  </si>
  <si>
    <t xml:space="preserve">Turki</t>
  </si>
  <si>
    <t xml:space="preserve">— (EN kullan)</t>
  </si>
  <si>
    <t xml:space="preserve">Kürtçe (Kurmancî)</t>
  </si>
  <si>
    <t xml:space="preserve">Tirkiye / Tirkiyê</t>
  </si>
  <si>
    <t xml:space="preserve">Enqere</t>
  </si>
  <si>
    <t xml:space="preserve">tirk</t>
  </si>
  <si>
    <t xml:space="preserve">—</t>
  </si>
  <si>
    <t xml:space="preserve">Rudaw/North Press</t>
  </si>
  <si>
    <t xml:space="preserve">Türkçe</t>
  </si>
  <si>
    <t xml:space="preserve">Türk</t>
  </si>
  <si>
    <t xml:space="preserve">TR:tr</t>
  </si>
  <si>
    <t xml:space="preserve">Türk kaynaklarında ülke adıyla ters filtre</t>
  </si>
  <si>
    <t xml:space="preserve">Google News RSS kalıbı: https://news.google.com/rss/search?q=&lt;terim&gt;+when:7d&amp;hl=&lt;hl&gt;&amp;gl=&lt;gl&gt;&amp;ceid=&lt;gl&gt;:&lt;hl&gt;</t>
  </si>
  <si>
    <t xml:space="preserve">Tema</t>
  </si>
  <si>
    <t xml:space="preserve">Hangi ülkelerde ağır</t>
  </si>
  <si>
    <t xml:space="preserve">Göstergeler</t>
  </si>
  <si>
    <t xml:space="preserve">Diplomasi</t>
  </si>
  <si>
    <t xml:space="preserve">Ziyaretler, anlaşmalar, forumlar, krizler</t>
  </si>
  <si>
    <t xml:space="preserve">Tümü</t>
  </si>
  <si>
    <t xml:space="preserve">Ziyaret/ay, imzalanan belge</t>
  </si>
  <si>
    <t xml:space="preserve">Güvenlik &amp; savunma</t>
  </si>
  <si>
    <t xml:space="preserve">Operasyonlar, savunma ihracatı (SİHA, KAAN), NATO, PKK/YPG, Doğu Akdeniz askeri</t>
  </si>
  <si>
    <t xml:space="preserve">Suriye, Irak, Yunanistan, İsrail, Ukrayna, Azerbaycan, AB</t>
  </si>
  <si>
    <t xml:space="preserve">Olay sayısı, ihracat anlaşması</t>
  </si>
  <si>
    <t xml:space="preserve">Enerji</t>
  </si>
  <si>
    <t xml:space="preserve">Boru hatları, LNG, nükleer, elektrik ihracı, Doğu Akdeniz gazı</t>
  </si>
  <si>
    <t xml:space="preserve">Rusya, İran, Irak, Azerbaycan, İsrail, GKRY, Mısır</t>
  </si>
  <si>
    <t xml:space="preserve">Anlaşma, hacim</t>
  </si>
  <si>
    <t xml:space="preserve">Ekonomi &amp; yatırım</t>
  </si>
  <si>
    <t xml:space="preserve">Ticaret, müteahhitlik, yeniden inşa, finans, Körfez sermayesi</t>
  </si>
  <si>
    <t xml:space="preserve">Suudi, BAE, Irak, Suriye, Rusya, Afrika</t>
  </si>
  <si>
    <t xml:space="preserve">Ticaret hacmi, ihale</t>
  </si>
  <si>
    <t xml:space="preserve">Göç &amp; diaspora</t>
  </si>
  <si>
    <t xml:space="preserve">Mülteciler, geri dönüş, vize, Avrupa'daki Türkler</t>
  </si>
  <si>
    <t xml:space="preserve">Suriye, AB, Almanya, Yunanistan</t>
  </si>
  <si>
    <t xml:space="preserve">Sayılar (Göç İdaresi, UNHCR, Frontex)</t>
  </si>
  <si>
    <t xml:space="preserve">İç gündem (A kapsamı)</t>
  </si>
  <si>
    <t xml:space="preserve">Seçim, iktidar, kriz, protesto, yargı</t>
  </si>
  <si>
    <t xml:space="preserve">Tüm A ülkeleri</t>
  </si>
  <si>
    <t xml:space="preserve">LLM önem skoru ≥3</t>
  </si>
  <si>
    <t xml:space="preserve">Türkiye'ye bakış (B kapsamı)</t>
  </si>
  <si>
    <t xml:space="preserve">Yabancı basında Türkiye çerçevelemesi; olumlu/olumsuz/nötr</t>
  </si>
  <si>
    <t xml:space="preserve">Tüm B ülkeleri</t>
  </si>
  <si>
    <t xml:space="preserve">Çerçeve oranı, hacim trendi</t>
  </si>
  <si>
    <t xml:space="preserve">Yumuşak güç</t>
  </si>
  <si>
    <t xml:space="preserve">TİKA, Maarif, Diyanet, YTB, diziler, THY</t>
  </si>
  <si>
    <t xml:space="preserve">Afrika, Balkanlar, Orta Asya, Kafkasya</t>
  </si>
  <si>
    <t xml:space="preserve">Proje duyurusu</t>
  </si>
  <si>
    <t xml:space="preserve">Bölgesel rekabet</t>
  </si>
  <si>
    <t xml:space="preserve">ABD, Rusya, Çin, İran, Körfez'in Türkiye'yle etkileşimi</t>
  </si>
  <si>
    <t xml:space="preserve">Çapraz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</si>
</sst>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1FB"/>
        <bgColor rgb="FFF3F0FA"/>
      </patternFill>
    </fill>
    <fill>
      <patternFill patternType="solid">
        <fgColor rgb="FFC6EFCE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FCE"/>
      </patternFill>
    </fill>
    <fill>
      <patternFill patternType="solid">
        <fgColor rgb="FFFFEB9C"/>
        <bgColor rgb="FFFDF2E2"/>
      </patternFill>
    </fill>
    <fill>
      <patternFill patternType="solid">
        <fgColor rgb="FFF8CBAD"/>
        <bgColor rgb="FFFFEB9C"/>
      </patternFill>
    </fill>
    <fill>
      <patternFill patternType="solid">
        <fgColor rgb="FFEEF7EA"/>
        <bgColor rgb="FFE8F1FB"/>
      </patternFill>
    </fill>
    <fill>
      <patternFill patternType="solid">
        <fgColor rgb="FFF3F0FA"/>
        <bgColor rgb="FFE8F1FB"/>
      </patternFill>
    </fill>
    <fill>
      <patternFill patternType="solid">
        <fgColor rgb="FFFDF2E2"/>
        <bgColor rgb="FFEEF7EA"/>
      </patternFill>
    </fill>
    <fill>
      <patternFill patternType="solid">
        <fgColor rgb="FFFFFFFF"/>
        <bgColor rgb="FFEEF7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EF7EA"/>
          <bgColor rgb="FF000000"/>
        </patternFill>
      </fill>
    </dxf>
    <dxf>
      <fill>
        <patternFill patternType="solid">
          <fgColor rgb="FFF3F0FA"/>
          <bgColor rgb="FF000000"/>
        </patternFill>
      </fill>
    </dxf>
    <dxf>
      <fill>
        <patternFill patternType="solid">
          <fgColor rgb="FFFDF2E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2E2"/>
      <rgbColor rgb="FFE8F1FB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EA"/>
      <rgbColor rgb="FFC6EFCE"/>
      <rgbColor rgb="FFFFEB9C"/>
      <rgbColor rgb="FFF3F0FA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enabbaladi.net/" TargetMode="External"/><Relationship Id="rId2" Type="http://schemas.openxmlformats.org/officeDocument/2006/relationships/hyperlink" Target="https://www.syria.tv/" TargetMode="External"/><Relationship Id="rId3" Type="http://schemas.openxmlformats.org/officeDocument/2006/relationships/hyperlink" Target="https://sana.sy/" TargetMode="External"/><Relationship Id="rId4" Type="http://schemas.openxmlformats.org/officeDocument/2006/relationships/hyperlink" Target="https://syriadirect.org/" TargetMode="External"/><Relationship Id="rId5" Type="http://schemas.openxmlformats.org/officeDocument/2006/relationships/hyperlink" Target="https://npasyria.com/" TargetMode="External"/><Relationship Id="rId6" Type="http://schemas.openxmlformats.org/officeDocument/2006/relationships/hyperlink" Target="https://jusoor.co/" TargetMode="External"/><Relationship Id="rId7" Type="http://schemas.openxmlformats.org/officeDocument/2006/relationships/hyperlink" Target="https://omranstudies.org/" TargetMode="External"/><Relationship Id="rId8" Type="http://schemas.openxmlformats.org/officeDocument/2006/relationships/hyperlink" Target="https://www.syriahr.com/" TargetMode="External"/><Relationship Id="rId9" Type="http://schemas.openxmlformats.org/officeDocument/2006/relationships/hyperlink" Target="https://www.rudaw.net/" TargetMode="External"/><Relationship Id="rId10" Type="http://schemas.openxmlformats.org/officeDocument/2006/relationships/hyperlink" Target="https://www.kurdistan24.net/" TargetMode="External"/><Relationship Id="rId11" Type="http://schemas.openxmlformats.org/officeDocument/2006/relationships/hyperlink" Target="https://shafaq.com/" TargetMode="External"/><Relationship Id="rId12" Type="http://schemas.openxmlformats.org/officeDocument/2006/relationships/hyperlink" Target="https://almadapaper.net/" TargetMode="External"/><Relationship Id="rId13" Type="http://schemas.openxmlformats.org/officeDocument/2006/relationships/hyperlink" Target="https://ina.iq/" TargetMode="External"/><Relationship Id="rId14" Type="http://schemas.openxmlformats.org/officeDocument/2006/relationships/hyperlink" Target="https://964media.com/" TargetMode="External"/><Relationship Id="rId15" Type="http://schemas.openxmlformats.org/officeDocument/2006/relationships/hyperlink" Target="https://www.alsumaria.tv/" TargetMode="External"/><Relationship Id="rId16" Type="http://schemas.openxmlformats.org/officeDocument/2006/relationships/hyperlink" Target="https://www.iraqoilreport.com/" TargetMode="External"/><Relationship Id="rId17" Type="http://schemas.openxmlformats.org/officeDocument/2006/relationships/hyperlink" Target="https://www.almodon.com/" TargetMode="External"/><Relationship Id="rId18" Type="http://schemas.openxmlformats.org/officeDocument/2006/relationships/hyperlink" Target="https://today.lorientlejour.com/" TargetMode="External"/><Relationship Id="rId19" Type="http://schemas.openxmlformats.org/officeDocument/2006/relationships/hyperlink" Target="https://www.timesofisrael.com/" TargetMode="External"/><Relationship Id="rId20" Type="http://schemas.openxmlformats.org/officeDocument/2006/relationships/hyperlink" Target="https://www.haaretz.com/" TargetMode="External"/><Relationship Id="rId21" Type="http://schemas.openxmlformats.org/officeDocument/2006/relationships/hyperlink" Target="https://www.jpost.com/" TargetMode="External"/><Relationship Id="rId22" Type="http://schemas.openxmlformats.org/officeDocument/2006/relationships/hyperlink" Target="https://www.ynetnews.com/" TargetMode="External"/><Relationship Id="rId23" Type="http://schemas.openxmlformats.org/officeDocument/2006/relationships/hyperlink" Target="https://www.israelhayom.com/" TargetMode="External"/><Relationship Id="rId24" Type="http://schemas.openxmlformats.org/officeDocument/2006/relationships/hyperlink" Target="https://www.inss.org.il/" TargetMode="External"/><Relationship Id="rId25" Type="http://schemas.openxmlformats.org/officeDocument/2006/relationships/hyperlink" Target="https://www.i24news.tv/" TargetMode="External"/><Relationship Id="rId26" Type="http://schemas.openxmlformats.org/officeDocument/2006/relationships/hyperlink" Target="https://www.ekathimerini.com/" TargetMode="External"/><Relationship Id="rId27" Type="http://schemas.openxmlformats.org/officeDocument/2006/relationships/hyperlink" Target="https://www.tovima.com/" TargetMode="External"/><Relationship Id="rId28" Type="http://schemas.openxmlformats.org/officeDocument/2006/relationships/hyperlink" Target="https://www.protothema.gr/" TargetMode="External"/><Relationship Id="rId29" Type="http://schemas.openxmlformats.org/officeDocument/2006/relationships/hyperlink" Target="https://www.naftemporiki.gr/" TargetMode="External"/><Relationship Id="rId30" Type="http://schemas.openxmlformats.org/officeDocument/2006/relationships/hyperlink" Target="https://www.ertnews.gr/" TargetMode="External"/><Relationship Id="rId31" Type="http://schemas.openxmlformats.org/officeDocument/2006/relationships/hyperlink" Target="https://www.eliamep.gr/" TargetMode="External"/><Relationship Id="rId32" Type="http://schemas.openxmlformats.org/officeDocument/2006/relationships/hyperlink" Target="https://greekcitytimes.com/" TargetMode="External"/><Relationship Id="rId33" Type="http://schemas.openxmlformats.org/officeDocument/2006/relationships/hyperlink" Target="https://cyprus-mail.com/" TargetMode="External"/><Relationship Id="rId34" Type="http://schemas.openxmlformats.org/officeDocument/2006/relationships/hyperlink" Target="https://www.philenews.com/" TargetMode="External"/><Relationship Id="rId35" Type="http://schemas.openxmlformats.org/officeDocument/2006/relationships/hyperlink" Target="https://politis.com.cy/" TargetMode="External"/><Relationship Id="rId36" Type="http://schemas.openxmlformats.org/officeDocument/2006/relationships/hyperlink" Target="https://www.cna.org.cy/" TargetMode="External"/><Relationship Id="rId37" Type="http://schemas.openxmlformats.org/officeDocument/2006/relationships/hyperlink" Target="https://in-cyprus.philenews.com/" TargetMode="External"/><Relationship Id="rId38" Type="http://schemas.openxmlformats.org/officeDocument/2006/relationships/hyperlink" Target="https://www.kibrispostasi.com/" TargetMode="External"/><Relationship Id="rId39" Type="http://schemas.openxmlformats.org/officeDocument/2006/relationships/hyperlink" Target="https://www.madamasr.com/" TargetMode="External"/><Relationship Id="rId40" Type="http://schemas.openxmlformats.org/officeDocument/2006/relationships/hyperlink" Target="https://english.ahram.org.eg/" TargetMode="External"/><Relationship Id="rId41" Type="http://schemas.openxmlformats.org/officeDocument/2006/relationships/hyperlink" Target="https://www.almasryalyoum.com/" TargetMode="External"/><Relationship Id="rId42" Type="http://schemas.openxmlformats.org/officeDocument/2006/relationships/hyperlink" Target="https://www.egyptindependent.com/" TargetMode="External"/><Relationship Id="rId43" Type="http://schemas.openxmlformats.org/officeDocument/2006/relationships/hyperlink" Target="https://www.dailynewsegypt.com/" TargetMode="External"/><Relationship Id="rId44" Type="http://schemas.openxmlformats.org/officeDocument/2006/relationships/hyperlink" Target="https://ecss.com.eg/" TargetMode="External"/><Relationship Id="rId45" Type="http://schemas.openxmlformats.org/officeDocument/2006/relationships/hyperlink" Target="https://libyaobserver.ly/" TargetMode="External"/><Relationship Id="rId46" Type="http://schemas.openxmlformats.org/officeDocument/2006/relationships/hyperlink" Target="https://libyaherald.com/" TargetMode="External"/><Relationship Id="rId47" Type="http://schemas.openxmlformats.org/officeDocument/2006/relationships/hyperlink" Target="https://en.irna.ir/" TargetMode="External"/><Relationship Id="rId48" Type="http://schemas.openxmlformats.org/officeDocument/2006/relationships/hyperlink" Target="https://www.tasnimnews.com/" TargetMode="External"/><Relationship Id="rId49" Type="http://schemas.openxmlformats.org/officeDocument/2006/relationships/hyperlink" Target="https://www.isna.ir/" TargetMode="External"/><Relationship Id="rId50" Type="http://schemas.openxmlformats.org/officeDocument/2006/relationships/hyperlink" Target="https://www.iranintl.com/" TargetMode="External"/><Relationship Id="rId51" Type="http://schemas.openxmlformats.org/officeDocument/2006/relationships/hyperlink" Target="https://iranwire.com/" TargetMode="External"/><Relationship Id="rId52" Type="http://schemas.openxmlformats.org/officeDocument/2006/relationships/hyperlink" Target="https://www.sharghdaily.com/" TargetMode="External"/><Relationship Id="rId53" Type="http://schemas.openxmlformats.org/officeDocument/2006/relationships/hyperlink" Target="https://www.tehrantimes.com/" TargetMode="External"/><Relationship Id="rId54" Type="http://schemas.openxmlformats.org/officeDocument/2006/relationships/hyperlink" Target="https://amwaj.media/" TargetMode="External"/><Relationship Id="rId55" Type="http://schemas.openxmlformats.org/officeDocument/2006/relationships/hyperlink" Target="https://aawsat.com/" TargetMode="External"/><Relationship Id="rId56" Type="http://schemas.openxmlformats.org/officeDocument/2006/relationships/hyperlink" Target="https://www.arabnews.com/" TargetMode="External"/><Relationship Id="rId57" Type="http://schemas.openxmlformats.org/officeDocument/2006/relationships/hyperlink" Target="https://www.alarabiya.net/" TargetMode="External"/><Relationship Id="rId58" Type="http://schemas.openxmlformats.org/officeDocument/2006/relationships/hyperlink" Target="https://www.spa.gov.sa/" TargetMode="External"/><Relationship Id="rId59" Type="http://schemas.openxmlformats.org/officeDocument/2006/relationships/hyperlink" Target="https://www.okaz.com.sa/" TargetMode="External"/><Relationship Id="rId60" Type="http://schemas.openxmlformats.org/officeDocument/2006/relationships/hyperlink" Target="https://www.grc.net/" TargetMode="External"/><Relationship Id="rId61" Type="http://schemas.openxmlformats.org/officeDocument/2006/relationships/hyperlink" Target="https://www.aljazeera.com/" TargetMode="External"/><Relationship Id="rId62" Type="http://schemas.openxmlformats.org/officeDocument/2006/relationships/hyperlink" Target="https://www.thenationalnews.com/" TargetMode="External"/><Relationship Id="rId63" Type="http://schemas.openxmlformats.org/officeDocument/2006/relationships/hyperlink" Target="https://www.alaraby.co.uk/" TargetMode="External"/><Relationship Id="rId64" Type="http://schemas.openxmlformats.org/officeDocument/2006/relationships/hyperlink" Target="https://www.middleeasteye.net/" TargetMode="External"/><Relationship Id="rId65" Type="http://schemas.openxmlformats.org/officeDocument/2006/relationships/hyperlink" Target="https://www.al-monitor.com/" TargetMode="External"/><Relationship Id="rId66" Type="http://schemas.openxmlformats.org/officeDocument/2006/relationships/hyperlink" Target="https://www.mei.edu/" TargetMode="External"/><Relationship Id="rId67" Type="http://schemas.openxmlformats.org/officeDocument/2006/relationships/hyperlink" Target="https://apa.az/" TargetMode="External"/><Relationship Id="rId68" Type="http://schemas.openxmlformats.org/officeDocument/2006/relationships/hyperlink" Target="https://report.az/" TargetMode="External"/><Relationship Id="rId69" Type="http://schemas.openxmlformats.org/officeDocument/2006/relationships/hyperlink" Target="https://turan.az/" TargetMode="External"/><Relationship Id="rId70" Type="http://schemas.openxmlformats.org/officeDocument/2006/relationships/hyperlink" Target="https://azertag.az/" TargetMode="External"/><Relationship Id="rId71" Type="http://schemas.openxmlformats.org/officeDocument/2006/relationships/hyperlink" Target="https://caliber.az/" TargetMode="External"/><Relationship Id="rId72" Type="http://schemas.openxmlformats.org/officeDocument/2006/relationships/hyperlink" Target="https://www.trend.az/" TargetMode="External"/><Relationship Id="rId73" Type="http://schemas.openxmlformats.org/officeDocument/2006/relationships/hyperlink" Target="https://www.civilnet.am/" TargetMode="External"/><Relationship Id="rId74" Type="http://schemas.openxmlformats.org/officeDocument/2006/relationships/hyperlink" Target="https://armenpress.am/" TargetMode="External"/><Relationship Id="rId75" Type="http://schemas.openxmlformats.org/officeDocument/2006/relationships/hyperlink" Target="https://news.am/" TargetMode="External"/><Relationship Id="rId76" Type="http://schemas.openxmlformats.org/officeDocument/2006/relationships/hyperlink" Target="https://evnreport.com/" TargetMode="External"/><Relationship Id="rId77" Type="http://schemas.openxmlformats.org/officeDocument/2006/relationships/hyperlink" Target="https://hetq.am/" TargetMode="External"/><Relationship Id="rId78" Type="http://schemas.openxmlformats.org/officeDocument/2006/relationships/hyperlink" Target="https://www.azatutyun.am/" TargetMode="External"/><Relationship Id="rId79" Type="http://schemas.openxmlformats.org/officeDocument/2006/relationships/hyperlink" Target="https://jam-news.net/" TargetMode="External"/><Relationship Id="rId80" Type="http://schemas.openxmlformats.org/officeDocument/2006/relationships/hyperlink" Target="https://oc-media.org/" TargetMode="External"/><Relationship Id="rId81" Type="http://schemas.openxmlformats.org/officeDocument/2006/relationships/hyperlink" Target="https://caucasuswatch.de/" TargetMode="External"/><Relationship Id="rId82" Type="http://schemas.openxmlformats.org/officeDocument/2006/relationships/hyperlink" Target="https://eurasianet.org/" TargetMode="External"/><Relationship Id="rId83" Type="http://schemas.openxmlformats.org/officeDocument/2006/relationships/hyperlink" Target="https://tass.com/" TargetMode="External"/><Relationship Id="rId84" Type="http://schemas.openxmlformats.org/officeDocument/2006/relationships/hyperlink" Target="https://ria.ru/" TargetMode="External"/><Relationship Id="rId85" Type="http://schemas.openxmlformats.org/officeDocument/2006/relationships/hyperlink" Target="https://www.kommersant.ru/" TargetMode="External"/><Relationship Id="rId86" Type="http://schemas.openxmlformats.org/officeDocument/2006/relationships/hyperlink" Target="https://meduza.io/" TargetMode="External"/><Relationship Id="rId87" Type="http://schemas.openxmlformats.org/officeDocument/2006/relationships/hyperlink" Target="https://www.themoscowtimes.com/" TargetMode="External"/><Relationship Id="rId88" Type="http://schemas.openxmlformats.org/officeDocument/2006/relationships/hyperlink" Target="https://www.rbc.ru/" TargetMode="External"/><Relationship Id="rId89" Type="http://schemas.openxmlformats.org/officeDocument/2006/relationships/hyperlink" Target="https://carnegieendowment.org/russia-eurasia" TargetMode="External"/><Relationship Id="rId90" Type="http://schemas.openxmlformats.org/officeDocument/2006/relationships/hyperlink" Target="https://www.ng.ru/" TargetMode="External"/><Relationship Id="rId91" Type="http://schemas.openxmlformats.org/officeDocument/2006/relationships/hyperlink" Target="https://kyivindependent.com/" TargetMode="External"/><Relationship Id="rId92" Type="http://schemas.openxmlformats.org/officeDocument/2006/relationships/hyperlink" Target="https://www.pravda.com.ua/" TargetMode="External"/><Relationship Id="rId93" Type="http://schemas.openxmlformats.org/officeDocument/2006/relationships/hyperlink" Target="https://www.eurointegration.com.ua/" TargetMode="External"/><Relationship Id="rId94" Type="http://schemas.openxmlformats.org/officeDocument/2006/relationships/hyperlink" Target="https://www.ukrinform.net/" TargetMode="External"/><Relationship Id="rId95" Type="http://schemas.openxmlformats.org/officeDocument/2006/relationships/hyperlink" Target="https://suspilne.media/" TargetMode="External"/><Relationship Id="rId96" Type="http://schemas.openxmlformats.org/officeDocument/2006/relationships/hyperlink" Target="https://lb.ua/" TargetMode="External"/><Relationship Id="rId97" Type="http://schemas.openxmlformats.org/officeDocument/2006/relationships/hyperlink" Target="https://www.rferl.org/" TargetMode="External"/><Relationship Id="rId98" Type="http://schemas.openxmlformats.org/officeDocument/2006/relationships/hyperlink" Target="https://www.romania-insider.com/" TargetMode="External"/><Relationship Id="rId99" Type="http://schemas.openxmlformats.org/officeDocument/2006/relationships/hyperlink" Target="https://www.blackseanews.net/" TargetMode="External"/><Relationship Id="rId100" Type="http://schemas.openxmlformats.org/officeDocument/2006/relationships/hyperlink" Target="https://www.politico.eu/" TargetMode="External"/><Relationship Id="rId101" Type="http://schemas.openxmlformats.org/officeDocument/2006/relationships/hyperlink" Target="https://www.euractiv.com/" TargetMode="External"/><Relationship Id="rId102" Type="http://schemas.openxmlformats.org/officeDocument/2006/relationships/hyperlink" Target="https://www.euronews.com/" TargetMode="External"/><Relationship Id="rId103" Type="http://schemas.openxmlformats.org/officeDocument/2006/relationships/hyperlink" Target="https://euobserver.com/" TargetMode="External"/><Relationship Id="rId104" Type="http://schemas.openxmlformats.org/officeDocument/2006/relationships/hyperlink" Target="https://www.europarl.europa.eu/news" TargetMode="External"/><Relationship Id="rId105" Type="http://schemas.openxmlformats.org/officeDocument/2006/relationships/hyperlink" Target="https://ec.europa.eu/commission/presscorner" TargetMode="External"/><Relationship Id="rId106" Type="http://schemas.openxmlformats.org/officeDocument/2006/relationships/hyperlink" Target="https://ecfr.eu/" TargetMode="External"/><Relationship Id="rId107" Type="http://schemas.openxmlformats.org/officeDocument/2006/relationships/hyperlink" Target="https://carnegieeurope.eu/" TargetMode="External"/><Relationship Id="rId108" Type="http://schemas.openxmlformats.org/officeDocument/2006/relationships/hyperlink" Target="https://www.ceps.eu/" TargetMode="External"/><Relationship Id="rId109" Type="http://schemas.openxmlformats.org/officeDocument/2006/relationships/hyperlink" Target="https://www.dw.com/" TargetMode="External"/><Relationship Id="rId110" Type="http://schemas.openxmlformats.org/officeDocument/2006/relationships/hyperlink" Target="https://www.spiegel.de/" TargetMode="External"/><Relationship Id="rId111" Type="http://schemas.openxmlformats.org/officeDocument/2006/relationships/hyperlink" Target="https://www.faz.net/" TargetMode="External"/><Relationship Id="rId112" Type="http://schemas.openxmlformats.org/officeDocument/2006/relationships/hyperlink" Target="https://www.swp-berlin.org/" TargetMode="External"/><Relationship Id="rId113" Type="http://schemas.openxmlformats.org/officeDocument/2006/relationships/hyperlink" Target="https://www.lemonde.fr/" TargetMode="External"/><Relationship Id="rId114" Type="http://schemas.openxmlformats.org/officeDocument/2006/relationships/hyperlink" Target="https://www.ifri.org/" TargetMode="External"/><Relationship Id="rId115" Type="http://schemas.openxmlformats.org/officeDocument/2006/relationships/hyperlink" Target="https://www.theguardian.com/" TargetMode="External"/><Relationship Id="rId116" Type="http://schemas.openxmlformats.org/officeDocument/2006/relationships/hyperlink" Target="https://www.chathamhouse.org/" TargetMode="External"/><Relationship Id="rId117" Type="http://schemas.openxmlformats.org/officeDocument/2006/relationships/hyperlink" Target="https://www.bbc.com/turkce" TargetMode="External"/><Relationship Id="rId118" Type="http://schemas.openxmlformats.org/officeDocument/2006/relationships/hyperlink" Target="https://www.nytimes.com/" TargetMode="External"/><Relationship Id="rId119" Type="http://schemas.openxmlformats.org/officeDocument/2006/relationships/hyperlink" Target="https://www.washingtonpost.com/" TargetMode="External"/><Relationship Id="rId120" Type="http://schemas.openxmlformats.org/officeDocument/2006/relationships/hyperlink" Target="https://www.politico.com/" TargetMode="External"/><Relationship Id="rId121" Type="http://schemas.openxmlformats.org/officeDocument/2006/relationships/hyperlink" Target="https://www.axios.com/" TargetMode="External"/><Relationship Id="rId122" Type="http://schemas.openxmlformats.org/officeDocument/2006/relationships/hyperlink" Target="https://www.state.gov/press-briefings" TargetMode="External"/><Relationship Id="rId123" Type="http://schemas.openxmlformats.org/officeDocument/2006/relationships/hyperlink" Target="https://crsreports.congress.gov/" TargetMode="External"/><Relationship Id="rId124" Type="http://schemas.openxmlformats.org/officeDocument/2006/relationships/hyperlink" Target="https://www.atlanticcouncil.org/programs/atlantic-council-in-turkey/" TargetMode="External"/><Relationship Id="rId125" Type="http://schemas.openxmlformats.org/officeDocument/2006/relationships/hyperlink" Target="https://www.washingtoninstitute.org/" TargetMode="External"/><Relationship Id="rId126" Type="http://schemas.openxmlformats.org/officeDocument/2006/relationships/hyperlink" Target="https://www.csis.org/" TargetMode="External"/><Relationship Id="rId127" Type="http://schemas.openxmlformats.org/officeDocument/2006/relationships/hyperlink" Target="https://www.brookings.edu/" TargetMode="External"/><Relationship Id="rId128" Type="http://schemas.openxmlformats.org/officeDocument/2006/relationships/hyperlink" Target="https://www.gmfus.org/" TargetMode="External"/><Relationship Id="rId129" Type="http://schemas.openxmlformats.org/officeDocument/2006/relationships/hyperlink" Target="https://www.hudson.org/" TargetMode="External"/><Relationship Id="rId130" Type="http://schemas.openxmlformats.org/officeDocument/2006/relationships/hyperlink" Target="https://warontherocks.com/" TargetMode="External"/><Relationship Id="rId131" Type="http://schemas.openxmlformats.org/officeDocument/2006/relationships/hyperlink" Target="https://www.globaltimes.cn/" TargetMode="External"/><Relationship Id="rId132" Type="http://schemas.openxmlformats.org/officeDocument/2006/relationships/hyperlink" Target="https://english.news.cn/" TargetMode="External"/><Relationship Id="rId133" Type="http://schemas.openxmlformats.org/officeDocument/2006/relationships/hyperlink" Target="https://www.scmp.com/" TargetMode="External"/><Relationship Id="rId134" Type="http://schemas.openxmlformats.org/officeDocument/2006/relationships/hyperlink" Target="https://www.chinadaily.com.cn/" TargetMode="External"/><Relationship Id="rId135" Type="http://schemas.openxmlformats.org/officeDocument/2006/relationships/hyperlink" Target="https://www.caixinglobal.com/" TargetMode="External"/><Relationship Id="rId136" Type="http://schemas.openxmlformats.org/officeDocument/2006/relationships/hyperlink" Target="https://thediplomat.com/" TargetMode="External"/><Relationship Id="rId137" Type="http://schemas.openxmlformats.org/officeDocument/2006/relationships/hyperlink" Target="https://merics.org/" TargetMode="External"/><Relationship Id="rId138" Type="http://schemas.openxmlformats.org/officeDocument/2006/relationships/hyperlink" Target="https://www.thehindu.com/" TargetMode="External"/><Relationship Id="rId139" Type="http://schemas.openxmlformats.org/officeDocument/2006/relationships/hyperlink" Target="https://indianexpress.com/" TargetMode="External"/><Relationship Id="rId140" Type="http://schemas.openxmlformats.org/officeDocument/2006/relationships/hyperlink" Target="https://theprint.in/" TargetMode="External"/><Relationship Id="rId141" Type="http://schemas.openxmlformats.org/officeDocument/2006/relationships/hyperlink" Target="https://www.hindustantimes.com/" TargetMode="External"/><Relationship Id="rId142" Type="http://schemas.openxmlformats.org/officeDocument/2006/relationships/hyperlink" Target="https://www.orfonline.org/" TargetMode="External"/><Relationship Id="rId143" Type="http://schemas.openxmlformats.org/officeDocument/2006/relationships/hyperlink" Target="https://www.wionews.com/" TargetMode="External"/><Relationship Id="rId144" Type="http://schemas.openxmlformats.org/officeDocument/2006/relationships/hyperlink" Target="https://www.dawn.com/" TargetMode="External"/><Relationship Id="rId145" Type="http://schemas.openxmlformats.org/officeDocument/2006/relationships/hyperlink" Target="https://asia.nikkei.com/" TargetMode="External"/><Relationship Id="rId146" Type="http://schemas.openxmlformats.org/officeDocument/2006/relationships/hyperlink" Target="https://www.theafricareport.com/" TargetMode="External"/><Relationship Id="rId147" Type="http://schemas.openxmlformats.org/officeDocument/2006/relationships/hyperlink" Target="https://africanarguments.org/" TargetMode="External"/><Relationship Id="rId148" Type="http://schemas.openxmlformats.org/officeDocument/2006/relationships/hyperlink" Target="https://www.jeuneafrique.com/" TargetMode="External"/><Relationship Id="rId149" Type="http://schemas.openxmlformats.org/officeDocument/2006/relationships/hyperlink" Target="https://issafrica.org/" TargetMode="External"/><Relationship Id="rId150" Type="http://schemas.openxmlformats.org/officeDocument/2006/relationships/hyperlink" Target="https://www.theeastafrican.co.ke/" TargetMode="External"/><Relationship Id="rId151" Type="http://schemas.openxmlformats.org/officeDocument/2006/relationships/hyperlink" Target="https://www.hiiraan.com/" TargetMode="External"/><Relationship Id="rId152" Type="http://schemas.openxmlformats.org/officeDocument/2006/relationships/hyperlink" Target="https://www.garoweonline.com/" TargetMode="External"/><Relationship Id="rId153" Type="http://schemas.openxmlformats.org/officeDocument/2006/relationships/hyperlink" Target="https://addisstandard.com/" TargetMode="External"/><Relationship Id="rId154" Type="http://schemas.openxmlformats.org/officeDocument/2006/relationships/hyperlink" Target="https://sudantribune.com/" TargetMode="External"/><Relationship Id="rId155" Type="http://schemas.openxmlformats.org/officeDocument/2006/relationships/hyperlink" Target="https://www.premiumtimesng.com/" TargetMode="External"/><Relationship Id="rId156" Type="http://schemas.openxmlformats.org/officeDocument/2006/relationships/hyperlink" Target="https://www.tsa-algerie.com/" TargetMode="External"/><Relationship Id="rId157" Type="http://schemas.openxmlformats.org/officeDocument/2006/relationships/hyperlink" Target="https://www.seneweb.com/" TargetMode="External"/><Relationship Id="rId158" Type="http://schemas.openxmlformats.org/officeDocument/2006/relationships/hyperlink" Target="https://www.aa.com.tr/" TargetMode="External"/><Relationship Id="rId159" Type="http://schemas.openxmlformats.org/officeDocument/2006/relationships/hyperlink" Target="https://www.mfa.gov.tr/" TargetMode="External"/><Relationship Id="rId160" Type="http://schemas.openxmlformats.org/officeDocument/2006/relationships/hyperlink" Target="https://www.msb.gov.tr/" TargetMode="External"/><Relationship Id="rId161" Type="http://schemas.openxmlformats.org/officeDocument/2006/relationships/hyperlink" Target="https://www.trtworld.com/" TargetMode="External"/><Relationship Id="rId162" Type="http://schemas.openxmlformats.org/officeDocument/2006/relationships/hyperlink" Target="https://www.orsam.org.tr/" TargetMode="External"/><Relationship Id="rId163" Type="http://schemas.openxmlformats.org/officeDocument/2006/relationships/hyperlink" Target="https://www.setav.org/" TargetMode="External"/><Relationship Id="rId164" Type="http://schemas.openxmlformats.org/officeDocument/2006/relationships/hyperlink" Target="https://edam.org.tr/" TargetMode="External"/><Relationship Id="rId165" Type="http://schemas.openxmlformats.org/officeDocument/2006/relationships/hyperlink" Target="https://www.tepav.org.tr/" TargetMode="External"/><Relationship Id="rId166" Type="http://schemas.openxmlformats.org/officeDocument/2006/relationships/hyperlink" Target="https://www.uikpanorama.com/" TargetMode="External"/><Relationship Id="rId167" Type="http://schemas.openxmlformats.org/officeDocument/2006/relationships/hyperlink" Target="https://www.deik.org.tr/" TargetMode="External"/><Relationship Id="rId168" Type="http://schemas.openxmlformats.org/officeDocument/2006/relationships/hyperlink" Target="https://www.reuters.com/" TargetMode="External"/><Relationship Id="rId169" Type="http://schemas.openxmlformats.org/officeDocument/2006/relationships/hyperlink" Target="https://apnews.com/" TargetMode="External"/><Relationship Id="rId170" Type="http://schemas.openxmlformats.org/officeDocument/2006/relationships/hyperlink" Target="https://www.ft.com/" TargetMode="External"/><Relationship Id="rId171" Type="http://schemas.openxmlformats.org/officeDocument/2006/relationships/hyperlink" Target="https://www.bloomberg.com/" TargetMode="External"/><Relationship Id="rId172" Type="http://schemas.openxmlformats.org/officeDocument/2006/relationships/hyperlink" Target="https://www.wsj.com/" TargetMode="External"/><Relationship Id="rId173" Type="http://schemas.openxmlformats.org/officeDocument/2006/relationships/hyperlink" Target="https://www.economist.com/" TargetMode="External"/><Relationship Id="rId174" Type="http://schemas.openxmlformats.org/officeDocument/2006/relationships/hyperlink" Target="https://www.foreignaffairs.com/" TargetMode="External"/><Relationship Id="rId175" Type="http://schemas.openxmlformats.org/officeDocument/2006/relationships/hyperlink" Target="https://foreignpolicy.com/" TargetMode="External"/><Relationship Id="rId176" Type="http://schemas.openxmlformats.org/officeDocument/2006/relationships/hyperlink" Target="https://www.crisisgroup.org/" TargetMode="External"/><Relationship Id="rId177" Type="http://schemas.openxmlformats.org/officeDocument/2006/relationships/hyperlink" Target="https://iramcenter.org/" TargetMode="External"/><Relationship Id="rId178" Type="http://schemas.openxmlformats.org/officeDocument/2006/relationships/hyperlink" Target="https://avim.org.tr/" TargetMode="External"/><Relationship Id="rId179" Type="http://schemas.openxmlformats.org/officeDocument/2006/relationships/hyperlink" Target="https://www.ikv.org.tr/" TargetMode="External"/><Relationship Id="rId180" Type="http://schemas.openxmlformats.org/officeDocument/2006/relationships/hyperlink" Target="https://sam.gov.tr/" TargetMode="External"/><Relationship Id="rId181" Type="http://schemas.openxmlformats.org/officeDocument/2006/relationships/hyperlink" Target="https://www.sde.org.tr/" TargetMode="External"/><Relationship Id="rId182" Type="http://schemas.openxmlformats.org/officeDocument/2006/relationships/hyperlink" Target="https://tasam.org/" TargetMode="External"/><Relationship Id="rId183" Type="http://schemas.openxmlformats.org/officeDocument/2006/relationships/hyperlink" Target="https://istanpol.org/" TargetMode="External"/><Relationship Id="rId184" Type="http://schemas.openxmlformats.org/officeDocument/2006/relationships/hyperlink" Target="https://apm.org.tr/" TargetMode="External"/><Relationship Id="rId185" Type="http://schemas.openxmlformats.org/officeDocument/2006/relationships/hyperlink" Target="https://afam.org.tr/" TargetMode="External"/><Relationship Id="rId186" Type="http://schemas.openxmlformats.org/officeDocument/2006/relationships/hyperlink" Target="https://ordaf.org/" TargetMode="External"/><Relationship Id="rId187" Type="http://schemas.openxmlformats.org/officeDocument/2006/relationships/hyperlink" Target="https://www.gmfus.org/ankara" TargetMode="External"/><Relationship Id="rId188" Type="http://schemas.openxmlformats.org/officeDocument/2006/relationships/hyperlink" Target="https://www.bayancenter.org/" TargetMode="External"/><Relationship Id="rId189" Type="http://schemas.openxmlformats.org/officeDocument/2006/relationships/hyperlink" Target="https://www.rudaw.net/english/analysis" TargetMode="External"/><Relationship Id="rId190" Type="http://schemas.openxmlformats.org/officeDocument/2006/relationships/hyperlink" Target="https://www.harmoon.org/" TargetMode="External"/><Relationship Id="rId191" Type="http://schemas.openxmlformats.org/officeDocument/2006/relationships/hyperlink" Target="https://coar-global.org/" TargetMode="External"/><Relationship Id="rId192" Type="http://schemas.openxmlformats.org/officeDocument/2006/relationships/hyperlink" Target="https://carnegie-mec.org/" TargetMode="External"/><Relationship Id="rId193" Type="http://schemas.openxmlformats.org/officeDocument/2006/relationships/hyperlink" Target="https://www.arab-reform.net/" TargetMode="External"/><Relationship Id="rId194" Type="http://schemas.openxmlformats.org/officeDocument/2006/relationships/hyperlink" Target="https://besacenter.org/" TargetMode="External"/><Relationship Id="rId195" Type="http://schemas.openxmlformats.org/officeDocument/2006/relationships/hyperlink" Target="https://dayan.org/" TargetMode="External"/><Relationship Id="rId196" Type="http://schemas.openxmlformats.org/officeDocument/2006/relationships/hyperlink" Target="https://jcpa.org/" TargetMode="External"/><Relationship Id="rId197" Type="http://schemas.openxmlformats.org/officeDocument/2006/relationships/hyperlink" Target="https://mitvim.org.il/" TargetMode="External"/><Relationship Id="rId198" Type="http://schemas.openxmlformats.org/officeDocument/2006/relationships/hyperlink" Target="https://idis.gr/" TargetMode="External"/><Relationship Id="rId199" Type="http://schemas.openxmlformats.org/officeDocument/2006/relationships/hyperlink" Target="https://www.lse.ac.uk/Hellenic-Observatory" TargetMode="External"/><Relationship Id="rId200" Type="http://schemas.openxmlformats.org/officeDocument/2006/relationships/hyperlink" Target="https://cyprus.prio.org/" TargetMode="External"/><Relationship Id="rId201" Type="http://schemas.openxmlformats.org/officeDocument/2006/relationships/hyperlink" Target="https://acpss.ahram.org.eg/" TargetMode="External"/><Relationship Id="rId202" Type="http://schemas.openxmlformats.org/officeDocument/2006/relationships/hyperlink" Target="https://en.eipss-eg.org/" TargetMode="External"/><Relationship Id="rId203" Type="http://schemas.openxmlformats.org/officeDocument/2006/relationships/hyperlink" Target="https://www.ipis.ir/" TargetMode="External"/><Relationship Id="rId204" Type="http://schemas.openxmlformats.org/officeDocument/2006/relationships/hyperlink" Target="https://www.csr.ir/" TargetMode="External"/><Relationship Id="rId205" Type="http://schemas.openxmlformats.org/officeDocument/2006/relationships/hyperlink" Target="https://www.kfcris.com/" TargetMode="External"/><Relationship Id="rId206" Type="http://schemas.openxmlformats.org/officeDocument/2006/relationships/hyperlink" Target="https://rasanah-iiis.org/" TargetMode="External"/><Relationship Id="rId207" Type="http://schemas.openxmlformats.org/officeDocument/2006/relationships/hyperlink" Target="https://www.grc.net/" TargetMode="External"/><Relationship Id="rId208" Type="http://schemas.openxmlformats.org/officeDocument/2006/relationships/hyperlink" Target="https://studies.aljazeera.net/" TargetMode="External"/><Relationship Id="rId209" Type="http://schemas.openxmlformats.org/officeDocument/2006/relationships/hyperlink" Target="https://arabcenterdc.org/" TargetMode="External"/><Relationship Id="rId210" Type="http://schemas.openxmlformats.org/officeDocument/2006/relationships/hyperlink" Target="https://trendsresearch.org/" TargetMode="External"/><Relationship Id="rId211" Type="http://schemas.openxmlformats.org/officeDocument/2006/relationships/hyperlink" Target="https://epc.ae/" TargetMode="External"/><Relationship Id="rId212" Type="http://schemas.openxmlformats.org/officeDocument/2006/relationships/hyperlink" Target="https://agsiw.org/" TargetMode="External"/><Relationship Id="rId213" Type="http://schemas.openxmlformats.org/officeDocument/2006/relationships/hyperlink" Target="https://aircenter.az/" TargetMode="External"/><Relationship Id="rId214" Type="http://schemas.openxmlformats.org/officeDocument/2006/relationships/hyperlink" Target="https://top-center.org/" TargetMode="External"/><Relationship Id="rId215" Type="http://schemas.openxmlformats.org/officeDocument/2006/relationships/hyperlink" Target="https://bakuresearchinstitute.org/" TargetMode="External"/><Relationship Id="rId216" Type="http://schemas.openxmlformats.org/officeDocument/2006/relationships/hyperlink" Target="https://apri.institute/" TargetMode="External"/><Relationship Id="rId217" Type="http://schemas.openxmlformats.org/officeDocument/2006/relationships/hyperlink" Target="https://regional-studies.org/" TargetMode="External"/><Relationship Id="rId218" Type="http://schemas.openxmlformats.org/officeDocument/2006/relationships/hyperlink" Target="https://orbeli.am/" TargetMode="External"/><Relationship Id="rId219" Type="http://schemas.openxmlformats.org/officeDocument/2006/relationships/hyperlink" Target="https://gip.ge/" TargetMode="External"/><Relationship Id="rId220" Type="http://schemas.openxmlformats.org/officeDocument/2006/relationships/hyperlink" Target="https://russiancouncil.ru/" TargetMode="External"/><Relationship Id="rId221" Type="http://schemas.openxmlformats.org/officeDocument/2006/relationships/hyperlink" Target="https://valdaiclub.com/" TargetMode="External"/><Relationship Id="rId222" Type="http://schemas.openxmlformats.org/officeDocument/2006/relationships/hyperlink" Target="https://www.imemo.ru/" TargetMode="External"/><Relationship Id="rId223" Type="http://schemas.openxmlformats.org/officeDocument/2006/relationships/hyperlink" Target="https://ridl.io/" TargetMode="External"/><Relationship Id="rId224" Type="http://schemas.openxmlformats.org/officeDocument/2006/relationships/hyperlink" Target="https://neweurope.org.ua/" TargetMode="External"/><Relationship Id="rId225" Type="http://schemas.openxmlformats.org/officeDocument/2006/relationships/hyperlink" Target="https://prismua.org/" TargetMode="External"/><Relationship Id="rId226" Type="http://schemas.openxmlformats.org/officeDocument/2006/relationships/hyperlink" Target="https://uifuture.org/" TargetMode="External"/><Relationship Id="rId227" Type="http://schemas.openxmlformats.org/officeDocument/2006/relationships/hyperlink" Target="https://cepa.org/" TargetMode="External"/><Relationship Id="rId228" Type="http://schemas.openxmlformats.org/officeDocument/2006/relationships/hyperlink" Target="https://www.iss.europa.eu/" TargetMode="External"/><Relationship Id="rId229" Type="http://schemas.openxmlformats.org/officeDocument/2006/relationships/hyperlink" Target="https://www.bruegel.org/" TargetMode="External"/><Relationship Id="rId230" Type="http://schemas.openxmlformats.org/officeDocument/2006/relationships/hyperlink" Target="https://www.clingendael.org/" TargetMode="External"/><Relationship Id="rId231" Type="http://schemas.openxmlformats.org/officeDocument/2006/relationships/hyperlink" Target="https://www.egmontinstitute.be/" TargetMode="External"/><Relationship Id="rId232" Type="http://schemas.openxmlformats.org/officeDocument/2006/relationships/hyperlink" Target="https://www.iai.it/" TargetMode="External"/><Relationship Id="rId233" Type="http://schemas.openxmlformats.org/officeDocument/2006/relationships/hyperlink" Target="https://www.ispionline.it/" TargetMode="External"/><Relationship Id="rId234" Type="http://schemas.openxmlformats.org/officeDocument/2006/relationships/hyperlink" Target="https://dgap.org/" TargetMode="External"/><Relationship Id="rId235" Type="http://schemas.openxmlformats.org/officeDocument/2006/relationships/hyperlink" Target="https://www.kas.de/tr/web/tuerkei" TargetMode="External"/><Relationship Id="rId236" Type="http://schemas.openxmlformats.org/officeDocument/2006/relationships/hyperlink" Target="https://turkey.fes.de/" TargetMode="External"/><Relationship Id="rId237" Type="http://schemas.openxmlformats.org/officeDocument/2006/relationships/hyperlink" Target="https://www.institutmontaigne.org/" TargetMode="External"/><Relationship Id="rId238" Type="http://schemas.openxmlformats.org/officeDocument/2006/relationships/hyperlink" Target="https://rusi.org/" TargetMode="External"/><Relationship Id="rId239" Type="http://schemas.openxmlformats.org/officeDocument/2006/relationships/hyperlink" Target="https://www.iiss.org/" TargetMode="External"/><Relationship Id="rId240" Type="http://schemas.openxmlformats.org/officeDocument/2006/relationships/hyperlink" Target="https://www.rand.org/" TargetMode="External"/><Relationship Id="rId241" Type="http://schemas.openxmlformats.org/officeDocument/2006/relationships/hyperlink" Target="https://www.wilsoncenter.org/" TargetMode="External"/><Relationship Id="rId242" Type="http://schemas.openxmlformats.org/officeDocument/2006/relationships/hyperlink" Target="https://carnegieendowment.org/" TargetMode="External"/><Relationship Id="rId243" Type="http://schemas.openxmlformats.org/officeDocument/2006/relationships/hyperlink" Target="https://www.cfr.org/" TargetMode="External"/><Relationship Id="rId244" Type="http://schemas.openxmlformats.org/officeDocument/2006/relationships/hyperlink" Target="https://www.fdd.org/" TargetMode="External"/><Relationship Id="rId245" Type="http://schemas.openxmlformats.org/officeDocument/2006/relationships/hyperlink" Target="https://www.meforum.org/" TargetMode="External"/><Relationship Id="rId246" Type="http://schemas.openxmlformats.org/officeDocument/2006/relationships/hyperlink" Target="https://setadc.org/" TargetMode="External"/><Relationship Id="rId247" Type="http://schemas.openxmlformats.org/officeDocument/2006/relationships/hyperlink" Target="https://www.stimson.org/" TargetMode="External"/><Relationship Id="rId248" Type="http://schemas.openxmlformats.org/officeDocument/2006/relationships/hyperlink" Target="https://www.heritage.org/" TargetMode="External"/><Relationship Id="rId249" Type="http://schemas.openxmlformats.org/officeDocument/2006/relationships/hyperlink" Target="http://www.charhar.org.cn/" TargetMode="External"/><Relationship Id="rId250" Type="http://schemas.openxmlformats.org/officeDocument/2006/relationships/hyperlink" Target="https://www.ciis.org.cn/" TargetMode="External"/><Relationship Id="rId251" Type="http://schemas.openxmlformats.org/officeDocument/2006/relationships/hyperlink" Target="https://www.siis.org.cn/" TargetMode="External"/><Relationship Id="rId252" Type="http://schemas.openxmlformats.org/officeDocument/2006/relationships/hyperlink" Target="https://www.idsa.in/" TargetMode="External"/><Relationship Id="rId253" Type="http://schemas.openxmlformats.org/officeDocument/2006/relationships/hyperlink" Target="https://carnegieindia.org/" TargetMode="External"/><Relationship Id="rId254" Type="http://schemas.openxmlformats.org/officeDocument/2006/relationships/hyperlink" Target="https://www.gatewayhouse.in/" TargetMode="External"/><Relationship Id="rId255" Type="http://schemas.openxmlformats.org/officeDocument/2006/relationships/hyperlink" Target="https://issi.org.pk/" TargetMode="External"/><Relationship Id="rId256" Type="http://schemas.openxmlformats.org/officeDocument/2006/relationships/hyperlink" Target="https://saiia.org.za/" TargetMode="External"/><Relationship Id="rId257" Type="http://schemas.openxmlformats.org/officeDocument/2006/relationships/hyperlink" Target="https://africacenter.org/" TargetMode="External"/><Relationship Id="rId258" Type="http://schemas.openxmlformats.org/officeDocument/2006/relationships/hyperlink" Target="https://heritageinstitute.org/" TargetMode="External"/><Relationship Id="rId259" Type="http://schemas.openxmlformats.org/officeDocument/2006/relationships/hyperlink" Target="https://riftvalley.net/" TargetMode="External"/><Relationship Id="rId26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45" hidden="false" customHeight="true" outlineLevel="0" collapsed="false">
      <c r="A5" s="3" t="s">
        <v>3</v>
      </c>
      <c r="B5" s="4" t="s">
        <v>4</v>
      </c>
    </row>
    <row r="6" customFormat="false" ht="30" hidden="false" customHeight="true" outlineLevel="0" collapsed="false">
      <c r="A6" s="3" t="s">
        <v>5</v>
      </c>
      <c r="B6" s="4" t="s">
        <v>6</v>
      </c>
    </row>
    <row r="7" customFormat="false" ht="30" hidden="false" customHeight="true" outlineLevel="0" collapsed="false">
      <c r="A7" s="3" t="s">
        <v>7</v>
      </c>
      <c r="B7" s="4" t="s">
        <v>8</v>
      </c>
    </row>
    <row r="8" customFormat="false" ht="15" hidden="false" customHeight="true" outlineLevel="0" collapsed="false">
      <c r="A8" s="3" t="s">
        <v>9</v>
      </c>
      <c r="B8" s="4" t="s">
        <v>10</v>
      </c>
    </row>
    <row r="9" customFormat="false" ht="30" hidden="false" customHeight="tru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/>
      <c r="B10" s="4"/>
    </row>
    <row r="11" customFormat="false" ht="45" hidden="false" customHeight="true" outlineLevel="0" collapsed="false">
      <c r="A11" s="3" t="s">
        <v>13</v>
      </c>
      <c r="B11" s="4" t="s">
        <v>14</v>
      </c>
    </row>
    <row r="12" customFormat="false" ht="30" hidden="false" customHeight="tru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17</v>
      </c>
      <c r="B14" s="4"/>
    </row>
    <row r="15" customFormat="false" ht="15" hidden="false" customHeight="true" outlineLevel="0" collapsed="false">
      <c r="A15" s="3" t="s">
        <v>18</v>
      </c>
      <c r="B15" s="4" t="s">
        <v>19</v>
      </c>
    </row>
    <row r="16" customFormat="false" ht="30" hidden="false" customHeight="true" outlineLevel="0" collapsed="false">
      <c r="A16" s="3" t="s">
        <v>20</v>
      </c>
      <c r="B16" s="4" t="s">
        <v>21</v>
      </c>
    </row>
    <row r="17" customFormat="false" ht="15" hidden="false" customHeight="true" outlineLevel="0" collapsed="false">
      <c r="A17" s="3" t="s">
        <v>22</v>
      </c>
      <c r="B17" s="4" t="s">
        <v>23</v>
      </c>
    </row>
    <row r="18" customFormat="false" ht="15" hidden="false" customHeight="tru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/>
      <c r="B19" s="4"/>
    </row>
    <row r="20" customFormat="false" ht="45" hidden="false" customHeight="true" outlineLevel="0" collapsed="false">
      <c r="A20" s="3" t="s">
        <v>26</v>
      </c>
      <c r="B2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5" t="s">
        <v>29</v>
      </c>
      <c r="B3" s="5" t="n">
        <f aca="false">COUNTA('Kaynak Havuzu'!A:A)-1</f>
        <v>259</v>
      </c>
    </row>
    <row r="4" customFormat="false" ht="15" hidden="false" customHeight="false" outlineLevel="0" collapsed="false">
      <c r="A4" s="5" t="s">
        <v>30</v>
      </c>
      <c r="B4" s="5" t="n">
        <f aca="false">COUNTIF('Kaynak Havuzu'!N:N,"Çekirdek")</f>
        <v>114</v>
      </c>
    </row>
    <row r="5" customFormat="false" ht="15" hidden="false" customHeight="false" outlineLevel="0" collapsed="false">
      <c r="A5" s="5" t="s">
        <v>31</v>
      </c>
      <c r="B5" s="5" t="n">
        <f aca="false">COUNTIF('Kaynak Havuzu'!N:N,"Kontrol et")</f>
        <v>145</v>
      </c>
    </row>
    <row r="6" customFormat="false" ht="15" hidden="false" customHeight="false" outlineLevel="0" collapsed="false">
      <c r="A6" s="5" t="s">
        <v>32</v>
      </c>
      <c r="B6" s="5" t="n">
        <f aca="false">COUNTIFS('Kaynak Havuzu'!L:L,"RSS",'Kaynak Havuzu'!M:M,"")</f>
        <v>202</v>
      </c>
    </row>
    <row r="7" customFormat="false" ht="15" hidden="false" customHeight="false" outlineLevel="0" collapsed="false">
      <c r="A7" s="5" t="s">
        <v>33</v>
      </c>
      <c r="B7" s="5" t="n">
        <f aca="false">COUNTIF('Kaynak Havuzu'!H:H,"Think tank")</f>
        <v>111</v>
      </c>
      <c r="C7" s="5" t="n">
        <f aca="false">COUNTIFS('Kaynak Havuzu'!H:H,"Think tank",'Kaynak Havuzu'!N:N,"Çekirdek")</f>
        <v>38</v>
      </c>
    </row>
    <row r="8" customFormat="false" ht="15" hidden="false" customHeight="false" outlineLevel="0" collapsed="false">
      <c r="A8" s="3" t="s">
        <v>34</v>
      </c>
      <c r="B8" s="3" t="s">
        <v>35</v>
      </c>
      <c r="C8" s="3" t="s">
        <v>30</v>
      </c>
      <c r="E8" s="3" t="s">
        <v>36</v>
      </c>
      <c r="F8" s="3" t="s">
        <v>35</v>
      </c>
      <c r="G8" s="3" t="s">
        <v>30</v>
      </c>
      <c r="I8" s="3" t="s">
        <v>37</v>
      </c>
      <c r="J8" s="3" t="s">
        <v>35</v>
      </c>
      <c r="K8" s="3" t="s">
        <v>30</v>
      </c>
    </row>
    <row r="9" customFormat="false" ht="15" hidden="false" customHeight="false" outlineLevel="0" collapsed="false">
      <c r="A9" s="5" t="s">
        <v>38</v>
      </c>
      <c r="B9" s="5" t="n">
        <f aca="false">COUNTIF('Kaynak Havuzu'!B:B,"A")</f>
        <v>112</v>
      </c>
      <c r="C9" s="5" t="n">
        <f aca="false">COUNTIFS('Kaynak Havuzu'!B:B,"A",'Kaynak Havuzu'!N:N,"Çekirdek")</f>
        <v>54</v>
      </c>
      <c r="E9" s="5" t="s">
        <v>39</v>
      </c>
      <c r="F9" s="5" t="n">
        <f aca="false">COUNTIF('Kaynak Havuzu'!C:C,"Levant &amp; Irak")</f>
        <v>24</v>
      </c>
      <c r="G9" s="5" t="n">
        <f aca="false">COUNTIFS('Kaynak Havuzu'!C:C,"Levant &amp; Irak",'Kaynak Havuzu'!N:N,"Çekirdek")</f>
        <v>12</v>
      </c>
      <c r="I9" s="5" t="s">
        <v>40</v>
      </c>
      <c r="J9" s="5" t="n">
        <f aca="false">COUNTIF('Kaynak Havuzu'!D:D,"Suriye")</f>
        <v>10</v>
      </c>
      <c r="K9" s="5" t="n">
        <f aca="false">COUNTIFS('Kaynak Havuzu'!D:D,"Suriye",'Kaynak Havuzu'!N:N,"Çekirdek")</f>
        <v>7</v>
      </c>
    </row>
    <row r="10" customFormat="false" ht="15" hidden="false" customHeight="false" outlineLevel="0" collapsed="false">
      <c r="A10" s="5" t="s">
        <v>5</v>
      </c>
      <c r="B10" s="5" t="n">
        <f aca="false">COUNTIF('Kaynak Havuzu'!B:B,"B")</f>
        <v>90</v>
      </c>
      <c r="C10" s="5" t="n">
        <f aca="false">COUNTIFS('Kaynak Havuzu'!B:B,"B",'Kaynak Havuzu'!N:N,"Çekirdek")</f>
        <v>31</v>
      </c>
      <c r="E10" s="5" t="s">
        <v>41</v>
      </c>
      <c r="F10" s="5" t="n">
        <f aca="false">COUNTIF('Kaynak Havuzu'!C:C,"Doğu Akdeniz")</f>
        <v>37</v>
      </c>
      <c r="G10" s="5" t="n">
        <f aca="false">COUNTIFS('Kaynak Havuzu'!C:C,"Doğu Akdeniz",'Kaynak Havuzu'!N:N,"Çekirdek")</f>
        <v>17</v>
      </c>
      <c r="I10" s="5" t="s">
        <v>42</v>
      </c>
      <c r="J10" s="5" t="n">
        <f aca="false">COUNTIF('Kaynak Havuzu'!D:D,"Irak")</f>
        <v>10</v>
      </c>
      <c r="K10" s="5" t="n">
        <f aca="false">COUNTIFS('Kaynak Havuzu'!D:D,"Irak",'Kaynak Havuzu'!N:N,"Çekirdek")</f>
        <v>4</v>
      </c>
    </row>
    <row r="11" customFormat="false" ht="15" hidden="false" customHeight="false" outlineLevel="0" collapsed="false">
      <c r="A11" s="5" t="s">
        <v>7</v>
      </c>
      <c r="B11" s="5" t="n">
        <f aca="false">COUNTIF('Kaynak Havuzu'!B:B,"R")</f>
        <v>26</v>
      </c>
      <c r="C11" s="5" t="n">
        <f aca="false">COUNTIFS('Kaynak Havuzu'!B:B,"R",'Kaynak Havuzu'!N:N,"Çekirdek")</f>
        <v>13</v>
      </c>
      <c r="E11" s="5" t="s">
        <v>43</v>
      </c>
      <c r="F11" s="5" t="n">
        <f aca="false">COUNTIF('Kaynak Havuzu'!C:C,"Körfez &amp; İran")</f>
        <v>30</v>
      </c>
      <c r="G11" s="5" t="n">
        <f aca="false">COUNTIFS('Kaynak Havuzu'!C:C,"Körfez &amp; İran",'Kaynak Havuzu'!N:N,"Çekirdek")</f>
        <v>14</v>
      </c>
      <c r="I11" s="5" t="s">
        <v>44</v>
      </c>
      <c r="J11" s="5" t="n">
        <f aca="false">COUNTIF('Kaynak Havuzu'!D:D,"İsrail")</f>
        <v>11</v>
      </c>
      <c r="K11" s="5" t="n">
        <f aca="false">COUNTIFS('Kaynak Havuzu'!D:D,"İsrail",'Kaynak Havuzu'!N:N,"Çekirdek")</f>
        <v>7</v>
      </c>
    </row>
    <row r="12" customFormat="false" ht="15" hidden="false" customHeight="false" outlineLevel="0" collapsed="false">
      <c r="A12" s="5" t="s">
        <v>9</v>
      </c>
      <c r="B12" s="5" t="n">
        <f aca="false">COUNTIF('Kaynak Havuzu'!B:B,"T")</f>
        <v>22</v>
      </c>
      <c r="C12" s="5" t="n">
        <f aca="false">COUNTIFS('Kaynak Havuzu'!B:B,"T",'Kaynak Havuzu'!N:N,"Çekirdek")</f>
        <v>8</v>
      </c>
      <c r="E12" s="5" t="s">
        <v>45</v>
      </c>
      <c r="F12" s="5" t="n">
        <f aca="false">COUNTIF('Kaynak Havuzu'!C:C,"Kafkasya")</f>
        <v>23</v>
      </c>
      <c r="G12" s="5" t="n">
        <f aca="false">COUNTIFS('Kaynak Havuzu'!C:C,"Kafkasya",'Kaynak Havuzu'!N:N,"Çekirdek")</f>
        <v>13</v>
      </c>
      <c r="I12" s="5" t="s">
        <v>46</v>
      </c>
      <c r="J12" s="5" t="n">
        <f aca="false">COUNTIF('Kaynak Havuzu'!D:D,"Yunanistan")</f>
        <v>9</v>
      </c>
      <c r="K12" s="5" t="n">
        <f aca="false">COUNTIFS('Kaynak Havuzu'!D:D,"Yunanistan",'Kaynak Havuzu'!N:N,"Çekirdek")</f>
        <v>3</v>
      </c>
    </row>
    <row r="13" customFormat="false" ht="15" hidden="false" customHeight="false" outlineLevel="0" collapsed="false">
      <c r="A13" s="5" t="s">
        <v>47</v>
      </c>
      <c r="B13" s="5" t="n">
        <f aca="false">COUNTIF('Kaynak Havuzu'!B:B,"P")</f>
        <v>9</v>
      </c>
      <c r="C13" s="5" t="n">
        <f aca="false">COUNTIFS('Kaynak Havuzu'!B:B,"P",'Kaynak Havuzu'!N:N,"Çekirdek")</f>
        <v>8</v>
      </c>
      <c r="E13" s="5" t="s">
        <v>48</v>
      </c>
      <c r="F13" s="5" t="n">
        <f aca="false">COUNTIF('Kaynak Havuzu'!C:C,"Karadeniz &amp; Rusya")</f>
        <v>25</v>
      </c>
      <c r="G13" s="5" t="n">
        <f aca="false">COUNTIFS('Kaynak Havuzu'!C:C,"Karadeniz &amp; Rusya",'Kaynak Havuzu'!N:N,"Çekirdek")</f>
        <v>11</v>
      </c>
      <c r="I13" s="5" t="s">
        <v>49</v>
      </c>
      <c r="J13" s="5" t="n">
        <f aca="false">COUNTIF('Kaynak Havuzu'!D:D,"GKRY")</f>
        <v>6</v>
      </c>
      <c r="K13" s="5" t="n">
        <f aca="false">COUNTIFS('Kaynak Havuzu'!D:D,"GKRY",'Kaynak Havuzu'!N:N,"Çekirdek")</f>
        <v>3</v>
      </c>
    </row>
    <row r="14" customFormat="false" ht="15" hidden="false" customHeight="false" outlineLevel="0" collapsed="false">
      <c r="E14" s="5" t="s">
        <v>50</v>
      </c>
      <c r="F14" s="5" t="n">
        <f aca="false">COUNTIF('Kaynak Havuzu'!C:C,"Avrupa")</f>
        <v>30</v>
      </c>
      <c r="G14" s="5" t="n">
        <f aca="false">COUNTIFS('Kaynak Havuzu'!C:C,"Avrupa",'Kaynak Havuzu'!N:N,"Çekirdek")</f>
        <v>13</v>
      </c>
      <c r="I14" s="5" t="s">
        <v>51</v>
      </c>
      <c r="J14" s="5" t="n">
        <f aca="false">COUNTIF('Kaynak Havuzu'!D:D,"Mısır")</f>
        <v>8</v>
      </c>
      <c r="K14" s="5" t="n">
        <f aca="false">COUNTIFS('Kaynak Havuzu'!D:D,"Mısır",'Kaynak Havuzu'!N:N,"Çekirdek")</f>
        <v>3</v>
      </c>
    </row>
    <row r="15" customFormat="false" ht="15" hidden="false" customHeight="false" outlineLevel="0" collapsed="false">
      <c r="E15" s="5" t="s">
        <v>52</v>
      </c>
      <c r="F15" s="5" t="n">
        <f aca="false">COUNTIF('Kaynak Havuzu'!C:C,"Kuzey Amerika")</f>
        <v>22</v>
      </c>
      <c r="G15" s="5" t="n">
        <f aca="false">COUNTIFS('Kaynak Havuzu'!C:C,"Kuzey Amerika",'Kaynak Havuzu'!N:N,"Çekirdek")</f>
        <v>5</v>
      </c>
      <c r="I15" s="5" t="s">
        <v>53</v>
      </c>
      <c r="J15" s="5" t="n">
        <f aca="false">COUNTIF('Kaynak Havuzu'!D:D,"İran")</f>
        <v>10</v>
      </c>
      <c r="K15" s="5" t="n">
        <f aca="false">COUNTIFS('Kaynak Havuzu'!D:D,"İran",'Kaynak Havuzu'!N:N,"Çekirdek")</f>
        <v>4</v>
      </c>
    </row>
    <row r="16" customFormat="false" ht="15" hidden="false" customHeight="false" outlineLevel="0" collapsed="false">
      <c r="E16" s="5" t="s">
        <v>54</v>
      </c>
      <c r="F16" s="5" t="n">
        <f aca="false">COUNTIF('Kaynak Havuzu'!C:C,"Asya")</f>
        <v>22</v>
      </c>
      <c r="G16" s="5" t="n">
        <f aca="false">COUNTIFS('Kaynak Havuzu'!C:C,"Asya",'Kaynak Havuzu'!N:N,"Çekirdek")</f>
        <v>7</v>
      </c>
      <c r="I16" s="5" t="s">
        <v>55</v>
      </c>
      <c r="J16" s="5" t="n">
        <f aca="false">COUNTIF('Kaynak Havuzu'!D:D,"Suudi Arabistan")</f>
        <v>9</v>
      </c>
      <c r="K16" s="5" t="n">
        <f aca="false">COUNTIFS('Kaynak Havuzu'!D:D,"Suudi Arabistan",'Kaynak Havuzu'!N:N,"Çekirdek")</f>
        <v>3</v>
      </c>
    </row>
    <row r="17" customFormat="false" ht="15" hidden="false" customHeight="false" outlineLevel="0" collapsed="false">
      <c r="E17" s="5" t="s">
        <v>56</v>
      </c>
      <c r="F17" s="5" t="n">
        <f aca="false">COUNTIF('Kaynak Havuzu'!C:C,"Afrika")</f>
        <v>16</v>
      </c>
      <c r="G17" s="5" t="n">
        <f aca="false">COUNTIFS('Kaynak Havuzu'!C:C,"Afrika",'Kaynak Havuzu'!N:N,"Çekirdek")</f>
        <v>6</v>
      </c>
      <c r="I17" s="5" t="s">
        <v>57</v>
      </c>
      <c r="J17" s="5" t="n">
        <f aca="false">COUNTIF('Kaynak Havuzu'!D:D,"Azerbaycan")</f>
        <v>9</v>
      </c>
      <c r="K17" s="5" t="n">
        <f aca="false">COUNTIFS('Kaynak Havuzu'!D:D,"Azerbaycan",'Kaynak Havuzu'!N:N,"Çekirdek")</f>
        <v>5</v>
      </c>
    </row>
    <row r="18" customFormat="false" ht="15" hidden="false" customHeight="false" outlineLevel="0" collapsed="false">
      <c r="E18" s="5" t="s">
        <v>58</v>
      </c>
      <c r="F18" s="5" t="n">
        <f aca="false">COUNTIF('Kaynak Havuzu'!C:C,"Türkiye")</f>
        <v>21</v>
      </c>
      <c r="G18" s="5" t="n">
        <f aca="false">COUNTIFS('Kaynak Havuzu'!C:C,"Türkiye",'Kaynak Havuzu'!N:N,"Çekirdek")</f>
        <v>8</v>
      </c>
      <c r="I18" s="5" t="s">
        <v>59</v>
      </c>
      <c r="J18" s="5" t="n">
        <f aca="false">COUNTIF('Kaynak Havuzu'!D:D,"Ermenistan")</f>
        <v>9</v>
      </c>
      <c r="K18" s="5" t="n">
        <f aca="false">COUNTIFS('Kaynak Havuzu'!D:D,"Ermenistan",'Kaynak Havuzu'!N:N,"Çekirdek")</f>
        <v>5</v>
      </c>
    </row>
    <row r="19" customFormat="false" ht="15" hidden="false" customHeight="false" outlineLevel="0" collapsed="false">
      <c r="E19" s="5" t="s">
        <v>60</v>
      </c>
      <c r="F19" s="5" t="n">
        <f aca="false">COUNTIF('Kaynak Havuzu'!C:C,"Küresel")</f>
        <v>9</v>
      </c>
      <c r="G19" s="5" t="n">
        <f aca="false">COUNTIFS('Kaynak Havuzu'!C:C,"Küresel",'Kaynak Havuzu'!N:N,"Çekirdek")</f>
        <v>8</v>
      </c>
      <c r="I19" s="5" t="s">
        <v>61</v>
      </c>
      <c r="J19" s="5" t="n">
        <f aca="false">COUNTIF('Kaynak Havuzu'!D:D,"Rusya")</f>
        <v>12</v>
      </c>
      <c r="K19" s="5" t="n">
        <f aca="false">COUNTIFS('Kaynak Havuzu'!D:D,"Rusya",'Kaynak Havuzu'!N:N,"Çekirdek")</f>
        <v>6</v>
      </c>
    </row>
    <row r="20" customFormat="false" ht="15" hidden="false" customHeight="false" outlineLevel="0" collapsed="false">
      <c r="I20" s="5" t="s">
        <v>62</v>
      </c>
      <c r="J20" s="5" t="n">
        <f aca="false">COUNTIF('Kaynak Havuzu'!D:D,"Ukrayna")</f>
        <v>9</v>
      </c>
      <c r="K20" s="5" t="n">
        <f aca="false">COUNTIFS('Kaynak Havuzu'!D:D,"Ukrayna",'Kaynak Havuzu'!N:N,"Çekirdek")</f>
        <v>4</v>
      </c>
    </row>
    <row r="21" customFormat="false" ht="15" hidden="false" customHeight="false" outlineLevel="0" collapsed="false">
      <c r="I21" s="5" t="s">
        <v>63</v>
      </c>
      <c r="J21" s="5" t="n">
        <f aca="false">COUNTIF('Kaynak Havuzu'!D:D,"AB")</f>
        <v>13</v>
      </c>
      <c r="K21" s="5" t="n">
        <f aca="false">COUNTIFS('Kaynak Havuzu'!D:D,"AB",'Kaynak Havuzu'!N:N,"Çekirdek")</f>
        <v>6</v>
      </c>
    </row>
    <row r="22" customFormat="false" ht="15" hidden="false" customHeight="false" outlineLevel="0" collapsed="false">
      <c r="I22" s="5" t="s">
        <v>64</v>
      </c>
      <c r="J22" s="5" t="n">
        <f aca="false">COUNTIF('Kaynak Havuzu'!D:D,"ABD")</f>
        <v>22</v>
      </c>
      <c r="K22" s="5" t="n">
        <f aca="false">COUNTIFS('Kaynak Havuzu'!D:D,"ABD",'Kaynak Havuzu'!N:N,"Çekirdek")</f>
        <v>5</v>
      </c>
    </row>
    <row r="23" customFormat="false" ht="15" hidden="false" customHeight="false" outlineLevel="0" collapsed="false">
      <c r="I23" s="5" t="s">
        <v>65</v>
      </c>
      <c r="J23" s="5" t="n">
        <f aca="false">COUNTIF('Kaynak Havuzu'!D:D,"Çin")</f>
        <v>10</v>
      </c>
      <c r="K23" s="5" t="n">
        <f aca="false">COUNTIFS('Kaynak Havuzu'!D:D,"Çin",'Kaynak Havuzu'!N:N,"Çekirdek")</f>
        <v>3</v>
      </c>
    </row>
    <row r="24" customFormat="false" ht="15" hidden="false" customHeight="false" outlineLevel="0" collapsed="false">
      <c r="I24" s="5" t="s">
        <v>66</v>
      </c>
      <c r="J24" s="5" t="n">
        <f aca="false">COUNTIF('Kaynak Havuzu'!D:D,"Hindistan")</f>
        <v>9</v>
      </c>
      <c r="K24" s="5" t="n">
        <f aca="false">COUNTIFS('Kaynak Havuzu'!D:D,"Hindistan",'Kaynak Havuzu'!N:N,"Çekirdek")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38"/>
    <col collapsed="false" customWidth="true" hidden="false" outlineLevel="0" max="10" min="10" style="0" width="6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34"/>
    <col collapsed="false" customWidth="true" hidden="false" outlineLevel="0" max="14" min="14" style="0" width="11"/>
    <col collapsed="false" customWidth="true" hidden="false" outlineLevel="0" max="15" min="15" style="0" width="36"/>
  </cols>
  <sheetData>
    <row r="1" customFormat="false" ht="39.75" hidden="false" customHeight="true" outlineLevel="0" collapsed="false">
      <c r="A1" s="6" t="s">
        <v>67</v>
      </c>
      <c r="B1" s="6" t="s">
        <v>34</v>
      </c>
      <c r="C1" s="6" t="s">
        <v>36</v>
      </c>
      <c r="D1" s="6" t="s">
        <v>37</v>
      </c>
      <c r="E1" s="6" t="s">
        <v>68</v>
      </c>
      <c r="F1" s="6" t="s">
        <v>69</v>
      </c>
      <c r="G1" s="6" t="s">
        <v>70</v>
      </c>
      <c r="H1" s="6" t="s">
        <v>71</v>
      </c>
      <c r="I1" s="6" t="s">
        <v>72</v>
      </c>
      <c r="J1" s="6" t="s">
        <v>73</v>
      </c>
      <c r="K1" s="6" t="s">
        <v>18</v>
      </c>
      <c r="L1" s="6" t="s">
        <v>74</v>
      </c>
      <c r="M1" s="6" t="s">
        <v>75</v>
      </c>
      <c r="N1" s="6" t="s">
        <v>22</v>
      </c>
      <c r="O1" s="6" t="s">
        <v>76</v>
      </c>
    </row>
    <row r="2" customFormat="false" ht="23.85" hidden="false" customHeight="false" outlineLevel="0" collapsed="false">
      <c r="A2" s="7" t="s">
        <v>77</v>
      </c>
      <c r="B2" s="8" t="s">
        <v>78</v>
      </c>
      <c r="C2" s="7" t="s">
        <v>39</v>
      </c>
      <c r="D2" s="7" t="s">
        <v>40</v>
      </c>
      <c r="E2" s="7" t="s">
        <v>79</v>
      </c>
      <c r="F2" s="9" t="s">
        <v>80</v>
      </c>
      <c r="G2" s="7" t="s">
        <v>81</v>
      </c>
      <c r="H2" s="7" t="s">
        <v>82</v>
      </c>
      <c r="I2" s="7" t="s">
        <v>83</v>
      </c>
      <c r="J2" s="10" t="s">
        <v>78</v>
      </c>
      <c r="K2" s="7" t="s">
        <v>84</v>
      </c>
      <c r="L2" s="7" t="s">
        <v>85</v>
      </c>
      <c r="M2" s="11" t="s">
        <v>86</v>
      </c>
      <c r="N2" s="12" t="s">
        <v>30</v>
      </c>
      <c r="O2" s="7" t="s">
        <v>87</v>
      </c>
    </row>
    <row r="3" customFormat="false" ht="15" hidden="false" customHeight="false" outlineLevel="0" collapsed="false">
      <c r="A3" s="7" t="s">
        <v>88</v>
      </c>
      <c r="B3" s="8" t="s">
        <v>78</v>
      </c>
      <c r="C3" s="7" t="s">
        <v>39</v>
      </c>
      <c r="D3" s="7" t="s">
        <v>40</v>
      </c>
      <c r="E3" s="7" t="s">
        <v>89</v>
      </c>
      <c r="F3" s="9" t="s">
        <v>90</v>
      </c>
      <c r="G3" s="7" t="s">
        <v>91</v>
      </c>
      <c r="H3" s="7" t="s">
        <v>92</v>
      </c>
      <c r="I3" s="7" t="s">
        <v>93</v>
      </c>
      <c r="J3" s="13" t="s">
        <v>94</v>
      </c>
      <c r="K3" s="7" t="s">
        <v>84</v>
      </c>
      <c r="L3" s="7" t="s">
        <v>95</v>
      </c>
      <c r="M3" s="11"/>
      <c r="N3" s="12" t="s">
        <v>30</v>
      </c>
      <c r="O3" s="7"/>
    </row>
    <row r="4" customFormat="false" ht="15" hidden="false" customHeight="false" outlineLevel="0" collapsed="false">
      <c r="A4" s="7" t="s">
        <v>96</v>
      </c>
      <c r="B4" s="8" t="s">
        <v>78</v>
      </c>
      <c r="C4" s="7" t="s">
        <v>39</v>
      </c>
      <c r="D4" s="7" t="s">
        <v>40</v>
      </c>
      <c r="E4" s="7" t="s">
        <v>97</v>
      </c>
      <c r="F4" s="9" t="s">
        <v>98</v>
      </c>
      <c r="G4" s="7" t="s">
        <v>99</v>
      </c>
      <c r="H4" s="7" t="s">
        <v>100</v>
      </c>
      <c r="I4" s="7" t="s">
        <v>101</v>
      </c>
      <c r="J4" s="14" t="s">
        <v>102</v>
      </c>
      <c r="K4" s="7" t="s">
        <v>84</v>
      </c>
      <c r="L4" s="7" t="s">
        <v>85</v>
      </c>
      <c r="M4" s="11" t="s">
        <v>103</v>
      </c>
      <c r="N4" s="12" t="s">
        <v>30</v>
      </c>
      <c r="O4" s="7"/>
    </row>
    <row r="5" customFormat="false" ht="15" hidden="false" customHeight="false" outlineLevel="0" collapsed="false">
      <c r="A5" s="7" t="s">
        <v>104</v>
      </c>
      <c r="B5" s="8" t="s">
        <v>78</v>
      </c>
      <c r="C5" s="7" t="s">
        <v>39</v>
      </c>
      <c r="D5" s="7" t="s">
        <v>40</v>
      </c>
      <c r="E5" s="7" t="s">
        <v>105</v>
      </c>
      <c r="F5" s="9" t="s">
        <v>106</v>
      </c>
      <c r="G5" s="7" t="s">
        <v>107</v>
      </c>
      <c r="H5" s="7" t="s">
        <v>82</v>
      </c>
      <c r="I5" s="7" t="s">
        <v>108</v>
      </c>
      <c r="J5" s="10" t="s">
        <v>78</v>
      </c>
      <c r="K5" s="7" t="s">
        <v>84</v>
      </c>
      <c r="L5" s="7" t="s">
        <v>85</v>
      </c>
      <c r="M5" s="11" t="s">
        <v>109</v>
      </c>
      <c r="N5" s="12" t="s">
        <v>30</v>
      </c>
      <c r="O5" s="7"/>
    </row>
    <row r="6" customFormat="false" ht="15" hidden="false" customHeight="false" outlineLevel="0" collapsed="false">
      <c r="A6" s="7" t="s">
        <v>110</v>
      </c>
      <c r="B6" s="8" t="s">
        <v>78</v>
      </c>
      <c r="C6" s="7" t="s">
        <v>39</v>
      </c>
      <c r="D6" s="7" t="s">
        <v>40</v>
      </c>
      <c r="E6" s="7" t="s">
        <v>111</v>
      </c>
      <c r="F6" s="9" t="s">
        <v>112</v>
      </c>
      <c r="G6" s="7" t="s">
        <v>113</v>
      </c>
      <c r="H6" s="7" t="s">
        <v>92</v>
      </c>
      <c r="I6" s="7" t="s">
        <v>114</v>
      </c>
      <c r="J6" s="13" t="s">
        <v>94</v>
      </c>
      <c r="K6" s="7" t="s">
        <v>84</v>
      </c>
      <c r="L6" s="7" t="s">
        <v>85</v>
      </c>
      <c r="M6" s="11" t="s">
        <v>115</v>
      </c>
      <c r="N6" s="12" t="s">
        <v>30</v>
      </c>
      <c r="O6" s="7" t="s">
        <v>116</v>
      </c>
    </row>
    <row r="7" customFormat="false" ht="15" hidden="false" customHeight="false" outlineLevel="0" collapsed="false">
      <c r="A7" s="7" t="s">
        <v>117</v>
      </c>
      <c r="B7" s="8" t="s">
        <v>78</v>
      </c>
      <c r="C7" s="7" t="s">
        <v>39</v>
      </c>
      <c r="D7" s="7" t="s">
        <v>40</v>
      </c>
      <c r="E7" s="7" t="s">
        <v>118</v>
      </c>
      <c r="F7" s="9" t="s">
        <v>119</v>
      </c>
      <c r="G7" s="7" t="s">
        <v>81</v>
      </c>
      <c r="H7" s="7" t="s">
        <v>120</v>
      </c>
      <c r="I7" s="7" t="s">
        <v>121</v>
      </c>
      <c r="J7" s="10" t="s">
        <v>78</v>
      </c>
      <c r="K7" s="7" t="s">
        <v>84</v>
      </c>
      <c r="L7" s="7" t="s">
        <v>85</v>
      </c>
      <c r="M7" s="11"/>
      <c r="N7" s="12" t="s">
        <v>30</v>
      </c>
      <c r="O7" s="7"/>
    </row>
    <row r="8" customFormat="false" ht="15" hidden="false" customHeight="false" outlineLevel="0" collapsed="false">
      <c r="A8" s="7" t="s">
        <v>122</v>
      </c>
      <c r="B8" s="8" t="s">
        <v>78</v>
      </c>
      <c r="C8" s="7" t="s">
        <v>39</v>
      </c>
      <c r="D8" s="7" t="s">
        <v>40</v>
      </c>
      <c r="E8" s="7" t="s">
        <v>123</v>
      </c>
      <c r="F8" s="9" t="s">
        <v>124</v>
      </c>
      <c r="G8" s="7" t="s">
        <v>81</v>
      </c>
      <c r="H8" s="7" t="s">
        <v>120</v>
      </c>
      <c r="I8" s="7" t="s">
        <v>125</v>
      </c>
      <c r="J8" s="10" t="s">
        <v>78</v>
      </c>
      <c r="K8" s="7" t="s">
        <v>84</v>
      </c>
      <c r="L8" s="7" t="s">
        <v>85</v>
      </c>
      <c r="M8" s="11"/>
      <c r="N8" s="12" t="s">
        <v>30</v>
      </c>
      <c r="O8" s="7"/>
    </row>
    <row r="9" customFormat="false" ht="15" hidden="false" customHeight="false" outlineLevel="0" collapsed="false">
      <c r="A9" s="7" t="s">
        <v>126</v>
      </c>
      <c r="B9" s="8" t="s">
        <v>78</v>
      </c>
      <c r="C9" s="7" t="s">
        <v>39</v>
      </c>
      <c r="D9" s="7" t="s">
        <v>40</v>
      </c>
      <c r="E9" s="7" t="s">
        <v>127</v>
      </c>
      <c r="F9" s="9" t="s">
        <v>128</v>
      </c>
      <c r="G9" s="7" t="s">
        <v>81</v>
      </c>
      <c r="H9" s="7" t="s">
        <v>129</v>
      </c>
      <c r="I9" s="7" t="s">
        <v>130</v>
      </c>
      <c r="J9" s="13" t="s">
        <v>94</v>
      </c>
      <c r="K9" s="7" t="s">
        <v>84</v>
      </c>
      <c r="L9" s="7" t="s">
        <v>85</v>
      </c>
      <c r="M9" s="11" t="s">
        <v>131</v>
      </c>
      <c r="N9" s="11" t="s">
        <v>31</v>
      </c>
      <c r="O9" s="7"/>
    </row>
    <row r="10" customFormat="false" ht="15" hidden="false" customHeight="false" outlineLevel="0" collapsed="false">
      <c r="A10" s="7" t="s">
        <v>132</v>
      </c>
      <c r="B10" s="8" t="s">
        <v>78</v>
      </c>
      <c r="C10" s="7" t="s">
        <v>39</v>
      </c>
      <c r="D10" s="7" t="s">
        <v>42</v>
      </c>
      <c r="E10" s="7" t="s">
        <v>133</v>
      </c>
      <c r="F10" s="9" t="s">
        <v>134</v>
      </c>
      <c r="G10" s="7" t="s">
        <v>135</v>
      </c>
      <c r="H10" s="7" t="s">
        <v>92</v>
      </c>
      <c r="I10" s="7" t="s">
        <v>136</v>
      </c>
      <c r="J10" s="13" t="s">
        <v>94</v>
      </c>
      <c r="K10" s="7" t="s">
        <v>84</v>
      </c>
      <c r="L10" s="7" t="s">
        <v>85</v>
      </c>
      <c r="M10" s="11" t="s">
        <v>137</v>
      </c>
      <c r="N10" s="12" t="s">
        <v>30</v>
      </c>
      <c r="O10" s="7" t="s">
        <v>138</v>
      </c>
    </row>
    <row r="11" customFormat="false" ht="15" hidden="false" customHeight="false" outlineLevel="0" collapsed="false">
      <c r="A11" s="7" t="s">
        <v>139</v>
      </c>
      <c r="B11" s="8" t="s">
        <v>78</v>
      </c>
      <c r="C11" s="7" t="s">
        <v>39</v>
      </c>
      <c r="D11" s="7" t="s">
        <v>42</v>
      </c>
      <c r="E11" s="7" t="s">
        <v>140</v>
      </c>
      <c r="F11" s="9" t="s">
        <v>141</v>
      </c>
      <c r="G11" s="7" t="s">
        <v>135</v>
      </c>
      <c r="H11" s="7" t="s">
        <v>92</v>
      </c>
      <c r="I11" s="7" t="s">
        <v>142</v>
      </c>
      <c r="J11" s="13" t="s">
        <v>94</v>
      </c>
      <c r="K11" s="7" t="s">
        <v>84</v>
      </c>
      <c r="L11" s="7" t="s">
        <v>85</v>
      </c>
      <c r="M11" s="11"/>
      <c r="N11" s="11" t="s">
        <v>31</v>
      </c>
      <c r="O11" s="7"/>
    </row>
    <row r="12" customFormat="false" ht="15" hidden="false" customHeight="false" outlineLevel="0" collapsed="false">
      <c r="A12" s="7" t="s">
        <v>143</v>
      </c>
      <c r="B12" s="8" t="s">
        <v>78</v>
      </c>
      <c r="C12" s="7" t="s">
        <v>39</v>
      </c>
      <c r="D12" s="7" t="s">
        <v>42</v>
      </c>
      <c r="E12" s="7" t="s">
        <v>144</v>
      </c>
      <c r="F12" s="9" t="s">
        <v>145</v>
      </c>
      <c r="G12" s="7" t="s">
        <v>113</v>
      </c>
      <c r="H12" s="7" t="s">
        <v>92</v>
      </c>
      <c r="I12" s="7" t="s">
        <v>146</v>
      </c>
      <c r="J12" s="13" t="s">
        <v>94</v>
      </c>
      <c r="K12" s="7" t="s">
        <v>84</v>
      </c>
      <c r="L12" s="7" t="s">
        <v>85</v>
      </c>
      <c r="M12" s="11" t="s">
        <v>147</v>
      </c>
      <c r="N12" s="12" t="s">
        <v>30</v>
      </c>
      <c r="O12" s="7"/>
    </row>
    <row r="13" customFormat="false" ht="15" hidden="false" customHeight="false" outlineLevel="0" collapsed="false">
      <c r="A13" s="7" t="s">
        <v>148</v>
      </c>
      <c r="B13" s="8" t="s">
        <v>78</v>
      </c>
      <c r="C13" s="7" t="s">
        <v>39</v>
      </c>
      <c r="D13" s="7" t="s">
        <v>42</v>
      </c>
      <c r="E13" s="7" t="s">
        <v>149</v>
      </c>
      <c r="F13" s="9" t="s">
        <v>150</v>
      </c>
      <c r="G13" s="7" t="s">
        <v>91</v>
      </c>
      <c r="H13" s="7" t="s">
        <v>82</v>
      </c>
      <c r="I13" s="7" t="s">
        <v>151</v>
      </c>
      <c r="J13" s="10" t="s">
        <v>78</v>
      </c>
      <c r="K13" s="7" t="s">
        <v>84</v>
      </c>
      <c r="L13" s="7" t="s">
        <v>95</v>
      </c>
      <c r="M13" s="11"/>
      <c r="N13" s="12" t="s">
        <v>30</v>
      </c>
      <c r="O13" s="7"/>
    </row>
    <row r="14" customFormat="false" ht="15" hidden="false" customHeight="false" outlineLevel="0" collapsed="false">
      <c r="A14" s="7" t="s">
        <v>152</v>
      </c>
      <c r="B14" s="8" t="s">
        <v>78</v>
      </c>
      <c r="C14" s="7" t="s">
        <v>39</v>
      </c>
      <c r="D14" s="7" t="s">
        <v>42</v>
      </c>
      <c r="E14" s="7" t="s">
        <v>153</v>
      </c>
      <c r="F14" s="9" t="s">
        <v>154</v>
      </c>
      <c r="G14" s="7" t="s">
        <v>81</v>
      </c>
      <c r="H14" s="7" t="s">
        <v>100</v>
      </c>
      <c r="I14" s="7" t="s">
        <v>155</v>
      </c>
      <c r="J14" s="14" t="s">
        <v>102</v>
      </c>
      <c r="K14" s="7" t="s">
        <v>84</v>
      </c>
      <c r="L14" s="7" t="s">
        <v>85</v>
      </c>
      <c r="M14" s="11"/>
      <c r="N14" s="11" t="s">
        <v>31</v>
      </c>
      <c r="O14" s="7"/>
    </row>
    <row r="15" customFormat="false" ht="15" hidden="false" customHeight="false" outlineLevel="0" collapsed="false">
      <c r="A15" s="7" t="s">
        <v>156</v>
      </c>
      <c r="B15" s="8" t="s">
        <v>78</v>
      </c>
      <c r="C15" s="7" t="s">
        <v>39</v>
      </c>
      <c r="D15" s="7" t="s">
        <v>42</v>
      </c>
      <c r="E15" s="7" t="s">
        <v>157</v>
      </c>
      <c r="F15" s="9" t="s">
        <v>158</v>
      </c>
      <c r="G15" s="7" t="s">
        <v>81</v>
      </c>
      <c r="H15" s="7" t="s">
        <v>92</v>
      </c>
      <c r="I15" s="7" t="s">
        <v>159</v>
      </c>
      <c r="J15" s="13" t="s">
        <v>94</v>
      </c>
      <c r="K15" s="7" t="s">
        <v>84</v>
      </c>
      <c r="L15" s="7" t="s">
        <v>85</v>
      </c>
      <c r="M15" s="11"/>
      <c r="N15" s="12" t="s">
        <v>30</v>
      </c>
      <c r="O15" s="7" t="s">
        <v>160</v>
      </c>
    </row>
    <row r="16" customFormat="false" ht="15" hidden="false" customHeight="false" outlineLevel="0" collapsed="false">
      <c r="A16" s="7" t="s">
        <v>161</v>
      </c>
      <c r="B16" s="8" t="s">
        <v>78</v>
      </c>
      <c r="C16" s="7" t="s">
        <v>39</v>
      </c>
      <c r="D16" s="7" t="s">
        <v>42</v>
      </c>
      <c r="E16" s="7" t="s">
        <v>162</v>
      </c>
      <c r="F16" s="9" t="s">
        <v>163</v>
      </c>
      <c r="G16" s="7" t="s">
        <v>91</v>
      </c>
      <c r="H16" s="7" t="s">
        <v>92</v>
      </c>
      <c r="I16" s="7" t="s">
        <v>164</v>
      </c>
      <c r="J16" s="13" t="s">
        <v>94</v>
      </c>
      <c r="K16" s="7" t="s">
        <v>84</v>
      </c>
      <c r="L16" s="7" t="s">
        <v>95</v>
      </c>
      <c r="M16" s="11"/>
      <c r="N16" s="11" t="s">
        <v>31</v>
      </c>
      <c r="O16" s="7"/>
    </row>
    <row r="17" customFormat="false" ht="15" hidden="false" customHeight="false" outlineLevel="0" collapsed="false">
      <c r="A17" s="7" t="s">
        <v>165</v>
      </c>
      <c r="B17" s="8" t="s">
        <v>78</v>
      </c>
      <c r="C17" s="7" t="s">
        <v>39</v>
      </c>
      <c r="D17" s="7" t="s">
        <v>42</v>
      </c>
      <c r="E17" s="7" t="s">
        <v>166</v>
      </c>
      <c r="F17" s="9" t="s">
        <v>167</v>
      </c>
      <c r="G17" s="7" t="s">
        <v>168</v>
      </c>
      <c r="H17" s="7" t="s">
        <v>169</v>
      </c>
      <c r="I17" s="7" t="s">
        <v>170</v>
      </c>
      <c r="J17" s="10" t="s">
        <v>78</v>
      </c>
      <c r="K17" s="7" t="s">
        <v>84</v>
      </c>
      <c r="L17" s="7" t="s">
        <v>171</v>
      </c>
      <c r="M17" s="11"/>
      <c r="N17" s="11" t="s">
        <v>31</v>
      </c>
      <c r="O17" s="7" t="s">
        <v>172</v>
      </c>
    </row>
    <row r="18" customFormat="false" ht="15" hidden="false" customHeight="false" outlineLevel="0" collapsed="false">
      <c r="A18" s="15" t="s">
        <v>173</v>
      </c>
      <c r="B18" s="16" t="s">
        <v>174</v>
      </c>
      <c r="C18" s="15" t="s">
        <v>39</v>
      </c>
      <c r="D18" s="15" t="s">
        <v>175</v>
      </c>
      <c r="E18" s="15" t="s">
        <v>176</v>
      </c>
      <c r="F18" s="17" t="s">
        <v>177</v>
      </c>
      <c r="G18" s="15" t="s">
        <v>91</v>
      </c>
      <c r="H18" s="15" t="s">
        <v>82</v>
      </c>
      <c r="I18" s="15" t="s">
        <v>178</v>
      </c>
      <c r="J18" s="10" t="s">
        <v>78</v>
      </c>
      <c r="K18" s="15" t="s">
        <v>179</v>
      </c>
      <c r="L18" s="15" t="s">
        <v>85</v>
      </c>
      <c r="M18" s="11"/>
      <c r="N18" s="11" t="s">
        <v>31</v>
      </c>
      <c r="O18" s="15"/>
    </row>
    <row r="19" customFormat="false" ht="15" hidden="false" customHeight="false" outlineLevel="0" collapsed="false">
      <c r="A19" s="15" t="s">
        <v>180</v>
      </c>
      <c r="B19" s="16" t="s">
        <v>174</v>
      </c>
      <c r="C19" s="15" t="s">
        <v>39</v>
      </c>
      <c r="D19" s="15" t="s">
        <v>175</v>
      </c>
      <c r="E19" s="15" t="s">
        <v>181</v>
      </c>
      <c r="F19" s="17" t="s">
        <v>182</v>
      </c>
      <c r="G19" s="15" t="s">
        <v>183</v>
      </c>
      <c r="H19" s="15" t="s">
        <v>92</v>
      </c>
      <c r="I19" s="15" t="s">
        <v>184</v>
      </c>
      <c r="J19" s="10" t="s">
        <v>78</v>
      </c>
      <c r="K19" s="15" t="s">
        <v>179</v>
      </c>
      <c r="L19" s="15" t="s">
        <v>85</v>
      </c>
      <c r="M19" s="11"/>
      <c r="N19" s="11" t="s">
        <v>31</v>
      </c>
      <c r="O19" s="15"/>
    </row>
    <row r="20" customFormat="false" ht="15" hidden="false" customHeight="false" outlineLevel="0" collapsed="false">
      <c r="A20" s="7" t="s">
        <v>185</v>
      </c>
      <c r="B20" s="8" t="s">
        <v>78</v>
      </c>
      <c r="C20" s="7" t="s">
        <v>41</v>
      </c>
      <c r="D20" s="7" t="s">
        <v>44</v>
      </c>
      <c r="E20" s="7" t="s">
        <v>186</v>
      </c>
      <c r="F20" s="9" t="s">
        <v>187</v>
      </c>
      <c r="G20" s="7" t="s">
        <v>168</v>
      </c>
      <c r="H20" s="7" t="s">
        <v>92</v>
      </c>
      <c r="I20" s="7" t="s">
        <v>188</v>
      </c>
      <c r="J20" s="13" t="s">
        <v>94</v>
      </c>
      <c r="K20" s="7" t="s">
        <v>84</v>
      </c>
      <c r="L20" s="7" t="s">
        <v>85</v>
      </c>
      <c r="M20" s="11" t="s">
        <v>189</v>
      </c>
      <c r="N20" s="12" t="s">
        <v>30</v>
      </c>
      <c r="O20" s="7"/>
    </row>
    <row r="21" customFormat="false" ht="23.85" hidden="false" customHeight="false" outlineLevel="0" collapsed="false">
      <c r="A21" s="7" t="s">
        <v>190</v>
      </c>
      <c r="B21" s="8" t="s">
        <v>78</v>
      </c>
      <c r="C21" s="7" t="s">
        <v>41</v>
      </c>
      <c r="D21" s="7" t="s">
        <v>44</v>
      </c>
      <c r="E21" s="7" t="s">
        <v>191</v>
      </c>
      <c r="F21" s="9" t="s">
        <v>192</v>
      </c>
      <c r="G21" s="7" t="s">
        <v>193</v>
      </c>
      <c r="H21" s="7" t="s">
        <v>92</v>
      </c>
      <c r="I21" s="7" t="s">
        <v>194</v>
      </c>
      <c r="J21" s="10" t="s">
        <v>78</v>
      </c>
      <c r="K21" s="7" t="s">
        <v>84</v>
      </c>
      <c r="L21" s="7" t="s">
        <v>85</v>
      </c>
      <c r="M21" s="11" t="s">
        <v>195</v>
      </c>
      <c r="N21" s="12" t="s">
        <v>30</v>
      </c>
      <c r="O21" s="7"/>
    </row>
    <row r="22" customFormat="false" ht="23.85" hidden="false" customHeight="false" outlineLevel="0" collapsed="false">
      <c r="A22" s="7" t="s">
        <v>196</v>
      </c>
      <c r="B22" s="8" t="s">
        <v>78</v>
      </c>
      <c r="C22" s="7" t="s">
        <v>41</v>
      </c>
      <c r="D22" s="7" t="s">
        <v>44</v>
      </c>
      <c r="E22" s="7" t="s">
        <v>197</v>
      </c>
      <c r="F22" s="9" t="s">
        <v>198</v>
      </c>
      <c r="G22" s="7" t="s">
        <v>168</v>
      </c>
      <c r="H22" s="7" t="s">
        <v>92</v>
      </c>
      <c r="I22" s="7" t="s">
        <v>199</v>
      </c>
      <c r="J22" s="13" t="s">
        <v>94</v>
      </c>
      <c r="K22" s="7" t="s">
        <v>84</v>
      </c>
      <c r="L22" s="7" t="s">
        <v>85</v>
      </c>
      <c r="M22" s="11" t="s">
        <v>200</v>
      </c>
      <c r="N22" s="12" t="s">
        <v>30</v>
      </c>
      <c r="O22" s="7"/>
    </row>
    <row r="23" customFormat="false" ht="15" hidden="false" customHeight="false" outlineLevel="0" collapsed="false">
      <c r="A23" s="7" t="s">
        <v>201</v>
      </c>
      <c r="B23" s="8" t="s">
        <v>78</v>
      </c>
      <c r="C23" s="7" t="s">
        <v>41</v>
      </c>
      <c r="D23" s="7" t="s">
        <v>44</v>
      </c>
      <c r="E23" s="7" t="s">
        <v>202</v>
      </c>
      <c r="F23" s="9" t="s">
        <v>203</v>
      </c>
      <c r="G23" s="7" t="s">
        <v>193</v>
      </c>
      <c r="H23" s="7" t="s">
        <v>92</v>
      </c>
      <c r="I23" s="7" t="s">
        <v>204</v>
      </c>
      <c r="J23" s="13" t="s">
        <v>94</v>
      </c>
      <c r="K23" s="7" t="s">
        <v>84</v>
      </c>
      <c r="L23" s="7" t="s">
        <v>85</v>
      </c>
      <c r="M23" s="11" t="s">
        <v>205</v>
      </c>
      <c r="N23" s="12" t="s">
        <v>30</v>
      </c>
      <c r="O23" s="7"/>
    </row>
    <row r="24" customFormat="false" ht="15" hidden="false" customHeight="false" outlineLevel="0" collapsed="false">
      <c r="A24" s="7" t="s">
        <v>206</v>
      </c>
      <c r="B24" s="8" t="s">
        <v>78</v>
      </c>
      <c r="C24" s="7" t="s">
        <v>41</v>
      </c>
      <c r="D24" s="7" t="s">
        <v>44</v>
      </c>
      <c r="E24" s="7" t="s">
        <v>207</v>
      </c>
      <c r="F24" s="9" t="s">
        <v>208</v>
      </c>
      <c r="G24" s="7" t="s">
        <v>193</v>
      </c>
      <c r="H24" s="7" t="s">
        <v>92</v>
      </c>
      <c r="I24" s="7" t="s">
        <v>209</v>
      </c>
      <c r="J24" s="13" t="s">
        <v>94</v>
      </c>
      <c r="K24" s="7" t="s">
        <v>84</v>
      </c>
      <c r="L24" s="7" t="s">
        <v>85</v>
      </c>
      <c r="M24" s="11"/>
      <c r="N24" s="11" t="s">
        <v>31</v>
      </c>
      <c r="O24" s="7"/>
    </row>
    <row r="25" customFormat="false" ht="15" hidden="false" customHeight="false" outlineLevel="0" collapsed="false">
      <c r="A25" s="7" t="s">
        <v>210</v>
      </c>
      <c r="B25" s="8" t="s">
        <v>78</v>
      </c>
      <c r="C25" s="7" t="s">
        <v>41</v>
      </c>
      <c r="D25" s="7" t="s">
        <v>44</v>
      </c>
      <c r="E25" s="7" t="s">
        <v>211</v>
      </c>
      <c r="F25" s="9" t="s">
        <v>212</v>
      </c>
      <c r="G25" s="7" t="s">
        <v>193</v>
      </c>
      <c r="H25" s="7" t="s">
        <v>120</v>
      </c>
      <c r="I25" s="7" t="s">
        <v>213</v>
      </c>
      <c r="J25" s="10" t="s">
        <v>78</v>
      </c>
      <c r="K25" s="7" t="s">
        <v>84</v>
      </c>
      <c r="L25" s="7" t="s">
        <v>85</v>
      </c>
      <c r="M25" s="11"/>
      <c r="N25" s="12" t="s">
        <v>30</v>
      </c>
      <c r="O25" s="7"/>
    </row>
    <row r="26" customFormat="false" ht="15" hidden="false" customHeight="false" outlineLevel="0" collapsed="false">
      <c r="A26" s="7" t="s">
        <v>214</v>
      </c>
      <c r="B26" s="8" t="s">
        <v>78</v>
      </c>
      <c r="C26" s="7" t="s">
        <v>41</v>
      </c>
      <c r="D26" s="7" t="s">
        <v>44</v>
      </c>
      <c r="E26" s="7" t="s">
        <v>215</v>
      </c>
      <c r="F26" s="9" t="s">
        <v>216</v>
      </c>
      <c r="G26" s="7" t="s">
        <v>217</v>
      </c>
      <c r="H26" s="7" t="s">
        <v>92</v>
      </c>
      <c r="I26" s="7"/>
      <c r="J26" s="13" t="s">
        <v>94</v>
      </c>
      <c r="K26" s="7" t="s">
        <v>84</v>
      </c>
      <c r="L26" s="7" t="s">
        <v>85</v>
      </c>
      <c r="M26" s="11"/>
      <c r="N26" s="11" t="s">
        <v>31</v>
      </c>
      <c r="O26" s="7"/>
    </row>
    <row r="27" customFormat="false" ht="15" hidden="false" customHeight="false" outlineLevel="0" collapsed="false">
      <c r="A27" s="7" t="s">
        <v>218</v>
      </c>
      <c r="B27" s="8" t="s">
        <v>78</v>
      </c>
      <c r="C27" s="7" t="s">
        <v>41</v>
      </c>
      <c r="D27" s="7" t="s">
        <v>46</v>
      </c>
      <c r="E27" s="7" t="s">
        <v>219</v>
      </c>
      <c r="F27" s="9" t="s">
        <v>220</v>
      </c>
      <c r="G27" s="7" t="s">
        <v>221</v>
      </c>
      <c r="H27" s="7" t="s">
        <v>92</v>
      </c>
      <c r="I27" s="7" t="s">
        <v>222</v>
      </c>
      <c r="J27" s="10" t="s">
        <v>78</v>
      </c>
      <c r="K27" s="7" t="s">
        <v>84</v>
      </c>
      <c r="L27" s="7" t="s">
        <v>85</v>
      </c>
      <c r="M27" s="11" t="s">
        <v>223</v>
      </c>
      <c r="N27" s="12" t="s">
        <v>30</v>
      </c>
      <c r="O27" s="7" t="s">
        <v>224</v>
      </c>
    </row>
    <row r="28" customFormat="false" ht="15" hidden="false" customHeight="false" outlineLevel="0" collapsed="false">
      <c r="A28" s="7" t="s">
        <v>225</v>
      </c>
      <c r="B28" s="8" t="s">
        <v>78</v>
      </c>
      <c r="C28" s="7" t="s">
        <v>41</v>
      </c>
      <c r="D28" s="7" t="s">
        <v>46</v>
      </c>
      <c r="E28" s="7" t="s">
        <v>226</v>
      </c>
      <c r="F28" s="9" t="s">
        <v>227</v>
      </c>
      <c r="G28" s="7" t="s">
        <v>228</v>
      </c>
      <c r="H28" s="7" t="s">
        <v>92</v>
      </c>
      <c r="I28" s="7" t="s">
        <v>229</v>
      </c>
      <c r="J28" s="13" t="s">
        <v>94</v>
      </c>
      <c r="K28" s="7" t="s">
        <v>84</v>
      </c>
      <c r="L28" s="7" t="s">
        <v>85</v>
      </c>
      <c r="M28" s="11"/>
      <c r="N28" s="12" t="s">
        <v>30</v>
      </c>
      <c r="O28" s="7"/>
    </row>
    <row r="29" customFormat="false" ht="15" hidden="false" customHeight="false" outlineLevel="0" collapsed="false">
      <c r="A29" s="7" t="s">
        <v>230</v>
      </c>
      <c r="B29" s="8" t="s">
        <v>78</v>
      </c>
      <c r="C29" s="7" t="s">
        <v>41</v>
      </c>
      <c r="D29" s="7" t="s">
        <v>46</v>
      </c>
      <c r="E29" s="7" t="s">
        <v>231</v>
      </c>
      <c r="F29" s="9" t="s">
        <v>232</v>
      </c>
      <c r="G29" s="7" t="s">
        <v>228</v>
      </c>
      <c r="H29" s="7" t="s">
        <v>92</v>
      </c>
      <c r="I29" s="7" t="s">
        <v>233</v>
      </c>
      <c r="J29" s="13" t="s">
        <v>94</v>
      </c>
      <c r="K29" s="7" t="s">
        <v>84</v>
      </c>
      <c r="L29" s="7" t="s">
        <v>85</v>
      </c>
      <c r="M29" s="11"/>
      <c r="N29" s="11" t="s">
        <v>31</v>
      </c>
      <c r="O29" s="7" t="s">
        <v>234</v>
      </c>
    </row>
    <row r="30" customFormat="false" ht="15" hidden="false" customHeight="false" outlineLevel="0" collapsed="false">
      <c r="A30" s="7" t="s">
        <v>235</v>
      </c>
      <c r="B30" s="8" t="s">
        <v>78</v>
      </c>
      <c r="C30" s="7" t="s">
        <v>41</v>
      </c>
      <c r="D30" s="7" t="s">
        <v>46</v>
      </c>
      <c r="E30" s="7" t="s">
        <v>236</v>
      </c>
      <c r="F30" s="9" t="s">
        <v>237</v>
      </c>
      <c r="G30" s="7" t="s">
        <v>238</v>
      </c>
      <c r="H30" s="7" t="s">
        <v>239</v>
      </c>
      <c r="I30" s="7"/>
      <c r="J30" s="10" t="s">
        <v>78</v>
      </c>
      <c r="K30" s="7" t="s">
        <v>84</v>
      </c>
      <c r="L30" s="7" t="s">
        <v>85</v>
      </c>
      <c r="M30" s="11"/>
      <c r="N30" s="11" t="s">
        <v>31</v>
      </c>
      <c r="O30" s="7"/>
    </row>
    <row r="31" customFormat="false" ht="15" hidden="false" customHeight="false" outlineLevel="0" collapsed="false">
      <c r="A31" s="7" t="s">
        <v>240</v>
      </c>
      <c r="B31" s="8" t="s">
        <v>78</v>
      </c>
      <c r="C31" s="7" t="s">
        <v>41</v>
      </c>
      <c r="D31" s="7" t="s">
        <v>46</v>
      </c>
      <c r="E31" s="7" t="s">
        <v>241</v>
      </c>
      <c r="F31" s="9" t="s">
        <v>242</v>
      </c>
      <c r="G31" s="7" t="s">
        <v>228</v>
      </c>
      <c r="H31" s="7" t="s">
        <v>243</v>
      </c>
      <c r="I31" s="7"/>
      <c r="J31" s="14" t="s">
        <v>102</v>
      </c>
      <c r="K31" s="7" t="s">
        <v>84</v>
      </c>
      <c r="L31" s="7" t="s">
        <v>85</v>
      </c>
      <c r="M31" s="11"/>
      <c r="N31" s="11" t="s">
        <v>31</v>
      </c>
      <c r="O31" s="7"/>
    </row>
    <row r="32" customFormat="false" ht="15" hidden="false" customHeight="false" outlineLevel="0" collapsed="false">
      <c r="A32" s="7" t="s">
        <v>244</v>
      </c>
      <c r="B32" s="8" t="s">
        <v>78</v>
      </c>
      <c r="C32" s="7" t="s">
        <v>41</v>
      </c>
      <c r="D32" s="7" t="s">
        <v>46</v>
      </c>
      <c r="E32" s="7" t="s">
        <v>245</v>
      </c>
      <c r="F32" s="9" t="s">
        <v>246</v>
      </c>
      <c r="G32" s="7" t="s">
        <v>228</v>
      </c>
      <c r="H32" s="7" t="s">
        <v>120</v>
      </c>
      <c r="I32" s="7" t="s">
        <v>247</v>
      </c>
      <c r="J32" s="10" t="s">
        <v>78</v>
      </c>
      <c r="K32" s="7" t="s">
        <v>84</v>
      </c>
      <c r="L32" s="7" t="s">
        <v>85</v>
      </c>
      <c r="M32" s="11"/>
      <c r="N32" s="12" t="s">
        <v>30</v>
      </c>
      <c r="O32" s="7"/>
    </row>
    <row r="33" customFormat="false" ht="15" hidden="false" customHeight="false" outlineLevel="0" collapsed="false">
      <c r="A33" s="7" t="s">
        <v>248</v>
      </c>
      <c r="B33" s="8" t="s">
        <v>78</v>
      </c>
      <c r="C33" s="7" t="s">
        <v>41</v>
      </c>
      <c r="D33" s="7" t="s">
        <v>46</v>
      </c>
      <c r="E33" s="7" t="s">
        <v>249</v>
      </c>
      <c r="F33" s="9" t="s">
        <v>250</v>
      </c>
      <c r="G33" s="7" t="s">
        <v>168</v>
      </c>
      <c r="H33" s="7" t="s">
        <v>251</v>
      </c>
      <c r="I33" s="7" t="s">
        <v>252</v>
      </c>
      <c r="J33" s="14" t="s">
        <v>102</v>
      </c>
      <c r="K33" s="7" t="s">
        <v>84</v>
      </c>
      <c r="L33" s="7" t="s">
        <v>85</v>
      </c>
      <c r="M33" s="11"/>
      <c r="N33" s="11" t="s">
        <v>31</v>
      </c>
      <c r="O33" s="7" t="s">
        <v>253</v>
      </c>
    </row>
    <row r="34" customFormat="false" ht="15" hidden="false" customHeight="false" outlineLevel="0" collapsed="false">
      <c r="A34" s="7" t="s">
        <v>254</v>
      </c>
      <c r="B34" s="8" t="s">
        <v>78</v>
      </c>
      <c r="C34" s="7" t="s">
        <v>41</v>
      </c>
      <c r="D34" s="7" t="s">
        <v>49</v>
      </c>
      <c r="E34" s="7" t="s">
        <v>255</v>
      </c>
      <c r="F34" s="9" t="s">
        <v>256</v>
      </c>
      <c r="G34" s="7" t="s">
        <v>168</v>
      </c>
      <c r="H34" s="7" t="s">
        <v>92</v>
      </c>
      <c r="I34" s="7"/>
      <c r="J34" s="10" t="s">
        <v>78</v>
      </c>
      <c r="K34" s="7" t="s">
        <v>84</v>
      </c>
      <c r="L34" s="7" t="s">
        <v>85</v>
      </c>
      <c r="M34" s="11" t="s">
        <v>257</v>
      </c>
      <c r="N34" s="12" t="s">
        <v>30</v>
      </c>
      <c r="O34" s="7"/>
    </row>
    <row r="35" customFormat="false" ht="15" hidden="false" customHeight="false" outlineLevel="0" collapsed="false">
      <c r="A35" s="7" t="s">
        <v>258</v>
      </c>
      <c r="B35" s="8" t="s">
        <v>78</v>
      </c>
      <c r="C35" s="7" t="s">
        <v>41</v>
      </c>
      <c r="D35" s="7" t="s">
        <v>49</v>
      </c>
      <c r="E35" s="7" t="s">
        <v>259</v>
      </c>
      <c r="F35" s="9" t="s">
        <v>260</v>
      </c>
      <c r="G35" s="7" t="s">
        <v>228</v>
      </c>
      <c r="H35" s="7" t="s">
        <v>92</v>
      </c>
      <c r="I35" s="7" t="s">
        <v>261</v>
      </c>
      <c r="J35" s="13" t="s">
        <v>94</v>
      </c>
      <c r="K35" s="7" t="s">
        <v>84</v>
      </c>
      <c r="L35" s="7" t="s">
        <v>85</v>
      </c>
      <c r="M35" s="11"/>
      <c r="N35" s="12" t="s">
        <v>30</v>
      </c>
      <c r="O35" s="7"/>
    </row>
    <row r="36" customFormat="false" ht="15" hidden="false" customHeight="false" outlineLevel="0" collapsed="false">
      <c r="A36" s="7" t="s">
        <v>262</v>
      </c>
      <c r="B36" s="8" t="s">
        <v>78</v>
      </c>
      <c r="C36" s="7" t="s">
        <v>41</v>
      </c>
      <c r="D36" s="7" t="s">
        <v>49</v>
      </c>
      <c r="E36" s="7" t="s">
        <v>263</v>
      </c>
      <c r="F36" s="9" t="s">
        <v>264</v>
      </c>
      <c r="G36" s="7" t="s">
        <v>238</v>
      </c>
      <c r="H36" s="7" t="s">
        <v>92</v>
      </c>
      <c r="I36" s="7"/>
      <c r="J36" s="13" t="s">
        <v>94</v>
      </c>
      <c r="K36" s="7" t="s">
        <v>84</v>
      </c>
      <c r="L36" s="7" t="s">
        <v>85</v>
      </c>
      <c r="M36" s="11"/>
      <c r="N36" s="11" t="s">
        <v>31</v>
      </c>
      <c r="O36" s="7"/>
    </row>
    <row r="37" customFormat="false" ht="15" hidden="false" customHeight="false" outlineLevel="0" collapsed="false">
      <c r="A37" s="7" t="s">
        <v>265</v>
      </c>
      <c r="B37" s="8" t="s">
        <v>78</v>
      </c>
      <c r="C37" s="7" t="s">
        <v>41</v>
      </c>
      <c r="D37" s="7" t="s">
        <v>49</v>
      </c>
      <c r="E37" s="7" t="s">
        <v>266</v>
      </c>
      <c r="F37" s="9" t="s">
        <v>267</v>
      </c>
      <c r="G37" s="7" t="s">
        <v>228</v>
      </c>
      <c r="H37" s="7" t="s">
        <v>100</v>
      </c>
      <c r="I37" s="7"/>
      <c r="J37" s="14" t="s">
        <v>102</v>
      </c>
      <c r="K37" s="7" t="s">
        <v>84</v>
      </c>
      <c r="L37" s="7" t="s">
        <v>85</v>
      </c>
      <c r="M37" s="11"/>
      <c r="N37" s="11" t="s">
        <v>31</v>
      </c>
      <c r="O37" s="7"/>
    </row>
    <row r="38" customFormat="false" ht="15" hidden="false" customHeight="false" outlineLevel="0" collapsed="false">
      <c r="A38" s="7" t="s">
        <v>268</v>
      </c>
      <c r="B38" s="8" t="s">
        <v>78</v>
      </c>
      <c r="C38" s="7" t="s">
        <v>41</v>
      </c>
      <c r="D38" s="7" t="s">
        <v>49</v>
      </c>
      <c r="E38" s="7" t="s">
        <v>269</v>
      </c>
      <c r="F38" s="9" t="s">
        <v>270</v>
      </c>
      <c r="G38" s="7" t="s">
        <v>168</v>
      </c>
      <c r="H38" s="7" t="s">
        <v>92</v>
      </c>
      <c r="I38" s="7" t="s">
        <v>271</v>
      </c>
      <c r="J38" s="13" t="s">
        <v>94</v>
      </c>
      <c r="K38" s="7" t="s">
        <v>84</v>
      </c>
      <c r="L38" s="7" t="s">
        <v>85</v>
      </c>
      <c r="M38" s="11"/>
      <c r="N38" s="11" t="s">
        <v>31</v>
      </c>
      <c r="O38" s="7"/>
    </row>
    <row r="39" customFormat="false" ht="15" hidden="false" customHeight="false" outlineLevel="0" collapsed="false">
      <c r="A39" s="18" t="s">
        <v>272</v>
      </c>
      <c r="B39" s="19" t="s">
        <v>273</v>
      </c>
      <c r="C39" s="18" t="s">
        <v>41</v>
      </c>
      <c r="D39" s="18" t="s">
        <v>274</v>
      </c>
      <c r="E39" s="18" t="s">
        <v>275</v>
      </c>
      <c r="F39" s="20" t="s">
        <v>276</v>
      </c>
      <c r="G39" s="18" t="s">
        <v>277</v>
      </c>
      <c r="H39" s="18" t="s">
        <v>92</v>
      </c>
      <c r="I39" s="18" t="s">
        <v>278</v>
      </c>
      <c r="J39" s="13" t="s">
        <v>94</v>
      </c>
      <c r="K39" s="18" t="s">
        <v>279</v>
      </c>
      <c r="L39" s="18" t="s">
        <v>85</v>
      </c>
      <c r="M39" s="11"/>
      <c r="N39" s="11" t="s">
        <v>31</v>
      </c>
      <c r="O39" s="18" t="s">
        <v>280</v>
      </c>
    </row>
    <row r="40" customFormat="false" ht="15" hidden="false" customHeight="false" outlineLevel="0" collapsed="false">
      <c r="A40" s="7" t="s">
        <v>281</v>
      </c>
      <c r="B40" s="8" t="s">
        <v>78</v>
      </c>
      <c r="C40" s="7" t="s">
        <v>41</v>
      </c>
      <c r="D40" s="7" t="s">
        <v>51</v>
      </c>
      <c r="E40" s="7" t="s">
        <v>282</v>
      </c>
      <c r="F40" s="9" t="s">
        <v>283</v>
      </c>
      <c r="G40" s="7" t="s">
        <v>81</v>
      </c>
      <c r="H40" s="7" t="s">
        <v>82</v>
      </c>
      <c r="I40" s="7" t="s">
        <v>284</v>
      </c>
      <c r="J40" s="10" t="s">
        <v>78</v>
      </c>
      <c r="K40" s="7" t="s">
        <v>84</v>
      </c>
      <c r="L40" s="7" t="s">
        <v>85</v>
      </c>
      <c r="M40" s="11" t="s">
        <v>285</v>
      </c>
      <c r="N40" s="12" t="s">
        <v>30</v>
      </c>
      <c r="O40" s="7"/>
    </row>
    <row r="41" customFormat="false" ht="15" hidden="false" customHeight="false" outlineLevel="0" collapsed="false">
      <c r="A41" s="7" t="s">
        <v>286</v>
      </c>
      <c r="B41" s="8" t="s">
        <v>78</v>
      </c>
      <c r="C41" s="7" t="s">
        <v>41</v>
      </c>
      <c r="D41" s="7" t="s">
        <v>51</v>
      </c>
      <c r="E41" s="7" t="s">
        <v>287</v>
      </c>
      <c r="F41" s="9" t="s">
        <v>288</v>
      </c>
      <c r="G41" s="7" t="s">
        <v>107</v>
      </c>
      <c r="H41" s="7" t="s">
        <v>243</v>
      </c>
      <c r="I41" s="7" t="s">
        <v>289</v>
      </c>
      <c r="J41" s="14" t="s">
        <v>102</v>
      </c>
      <c r="K41" s="7" t="s">
        <v>84</v>
      </c>
      <c r="L41" s="7" t="s">
        <v>85</v>
      </c>
      <c r="M41" s="11"/>
      <c r="N41" s="12" t="s">
        <v>30</v>
      </c>
      <c r="O41" s="7"/>
    </row>
    <row r="42" customFormat="false" ht="15" hidden="false" customHeight="false" outlineLevel="0" collapsed="false">
      <c r="A42" s="7" t="s">
        <v>290</v>
      </c>
      <c r="B42" s="8" t="s">
        <v>78</v>
      </c>
      <c r="C42" s="7" t="s">
        <v>41</v>
      </c>
      <c r="D42" s="7" t="s">
        <v>51</v>
      </c>
      <c r="E42" s="7" t="s">
        <v>291</v>
      </c>
      <c r="F42" s="9" t="s">
        <v>292</v>
      </c>
      <c r="G42" s="7" t="s">
        <v>91</v>
      </c>
      <c r="H42" s="7" t="s">
        <v>92</v>
      </c>
      <c r="I42" s="7"/>
      <c r="J42" s="13" t="s">
        <v>94</v>
      </c>
      <c r="K42" s="7" t="s">
        <v>84</v>
      </c>
      <c r="L42" s="7" t="s">
        <v>85</v>
      </c>
      <c r="M42" s="11"/>
      <c r="N42" s="11" t="s">
        <v>31</v>
      </c>
      <c r="O42" s="7"/>
    </row>
    <row r="43" customFormat="false" ht="15" hidden="false" customHeight="false" outlineLevel="0" collapsed="false">
      <c r="A43" s="7" t="s">
        <v>293</v>
      </c>
      <c r="B43" s="8" t="s">
        <v>78</v>
      </c>
      <c r="C43" s="7" t="s">
        <v>41</v>
      </c>
      <c r="D43" s="7" t="s">
        <v>51</v>
      </c>
      <c r="E43" s="7" t="s">
        <v>294</v>
      </c>
      <c r="F43" s="9" t="s">
        <v>295</v>
      </c>
      <c r="G43" s="7" t="s">
        <v>168</v>
      </c>
      <c r="H43" s="7" t="s">
        <v>92</v>
      </c>
      <c r="I43" s="7" t="s">
        <v>296</v>
      </c>
      <c r="J43" s="13" t="s">
        <v>94</v>
      </c>
      <c r="K43" s="7" t="s">
        <v>84</v>
      </c>
      <c r="L43" s="7" t="s">
        <v>85</v>
      </c>
      <c r="M43" s="11"/>
      <c r="N43" s="11" t="s">
        <v>31</v>
      </c>
      <c r="O43" s="7"/>
    </row>
    <row r="44" customFormat="false" ht="15" hidden="false" customHeight="false" outlineLevel="0" collapsed="false">
      <c r="A44" s="7" t="s">
        <v>297</v>
      </c>
      <c r="B44" s="8" t="s">
        <v>78</v>
      </c>
      <c r="C44" s="7" t="s">
        <v>41</v>
      </c>
      <c r="D44" s="7" t="s">
        <v>51</v>
      </c>
      <c r="E44" s="7" t="s">
        <v>298</v>
      </c>
      <c r="F44" s="9" t="s">
        <v>299</v>
      </c>
      <c r="G44" s="7" t="s">
        <v>168</v>
      </c>
      <c r="H44" s="7" t="s">
        <v>239</v>
      </c>
      <c r="I44" s="7"/>
      <c r="J44" s="13" t="s">
        <v>94</v>
      </c>
      <c r="K44" s="7" t="s">
        <v>84</v>
      </c>
      <c r="L44" s="7" t="s">
        <v>85</v>
      </c>
      <c r="M44" s="11"/>
      <c r="N44" s="11" t="s">
        <v>31</v>
      </c>
      <c r="O44" s="7"/>
    </row>
    <row r="45" customFormat="false" ht="15" hidden="false" customHeight="false" outlineLevel="0" collapsed="false">
      <c r="A45" s="7" t="s">
        <v>300</v>
      </c>
      <c r="B45" s="8" t="s">
        <v>78</v>
      </c>
      <c r="C45" s="7" t="s">
        <v>41</v>
      </c>
      <c r="D45" s="7" t="s">
        <v>51</v>
      </c>
      <c r="E45" s="7" t="s">
        <v>301</v>
      </c>
      <c r="F45" s="9" t="s">
        <v>302</v>
      </c>
      <c r="G45" s="7" t="s">
        <v>81</v>
      </c>
      <c r="H45" s="7" t="s">
        <v>120</v>
      </c>
      <c r="I45" s="7" t="s">
        <v>303</v>
      </c>
      <c r="J45" s="13" t="s">
        <v>94</v>
      </c>
      <c r="K45" s="7" t="s">
        <v>84</v>
      </c>
      <c r="L45" s="7" t="s">
        <v>85</v>
      </c>
      <c r="M45" s="11"/>
      <c r="N45" s="11" t="s">
        <v>31</v>
      </c>
      <c r="O45" s="7"/>
    </row>
    <row r="46" customFormat="false" ht="15" hidden="false" customHeight="false" outlineLevel="0" collapsed="false">
      <c r="A46" s="15" t="s">
        <v>304</v>
      </c>
      <c r="B46" s="16" t="s">
        <v>174</v>
      </c>
      <c r="C46" s="15" t="s">
        <v>41</v>
      </c>
      <c r="D46" s="15" t="s">
        <v>305</v>
      </c>
      <c r="E46" s="15" t="s">
        <v>306</v>
      </c>
      <c r="F46" s="17" t="s">
        <v>307</v>
      </c>
      <c r="G46" s="15" t="s">
        <v>107</v>
      </c>
      <c r="H46" s="15" t="s">
        <v>92</v>
      </c>
      <c r="I46" s="15" t="s">
        <v>308</v>
      </c>
      <c r="J46" s="13" t="s">
        <v>94</v>
      </c>
      <c r="K46" s="15" t="s">
        <v>179</v>
      </c>
      <c r="L46" s="15" t="s">
        <v>85</v>
      </c>
      <c r="M46" s="11"/>
      <c r="N46" s="12" t="s">
        <v>30</v>
      </c>
      <c r="O46" s="15" t="s">
        <v>309</v>
      </c>
    </row>
    <row r="47" customFormat="false" ht="15" hidden="false" customHeight="false" outlineLevel="0" collapsed="false">
      <c r="A47" s="15" t="s">
        <v>310</v>
      </c>
      <c r="B47" s="16" t="s">
        <v>174</v>
      </c>
      <c r="C47" s="15" t="s">
        <v>41</v>
      </c>
      <c r="D47" s="15" t="s">
        <v>305</v>
      </c>
      <c r="E47" s="15" t="s">
        <v>311</v>
      </c>
      <c r="F47" s="17" t="s">
        <v>312</v>
      </c>
      <c r="G47" s="15" t="s">
        <v>168</v>
      </c>
      <c r="H47" s="15" t="s">
        <v>92</v>
      </c>
      <c r="I47" s="15"/>
      <c r="J47" s="13" t="s">
        <v>94</v>
      </c>
      <c r="K47" s="15" t="s">
        <v>179</v>
      </c>
      <c r="L47" s="15" t="s">
        <v>85</v>
      </c>
      <c r="M47" s="11"/>
      <c r="N47" s="11" t="s">
        <v>31</v>
      </c>
      <c r="O47" s="15"/>
    </row>
    <row r="48" customFormat="false" ht="15" hidden="false" customHeight="false" outlineLevel="0" collapsed="false">
      <c r="A48" s="7" t="s">
        <v>313</v>
      </c>
      <c r="B48" s="8" t="s">
        <v>78</v>
      </c>
      <c r="C48" s="7" t="s">
        <v>43</v>
      </c>
      <c r="D48" s="7" t="s">
        <v>53</v>
      </c>
      <c r="E48" s="7" t="s">
        <v>314</v>
      </c>
      <c r="F48" s="9" t="s">
        <v>315</v>
      </c>
      <c r="G48" s="7" t="s">
        <v>316</v>
      </c>
      <c r="H48" s="7" t="s">
        <v>100</v>
      </c>
      <c r="I48" s="7" t="s">
        <v>317</v>
      </c>
      <c r="J48" s="14" t="s">
        <v>102</v>
      </c>
      <c r="K48" s="7" t="s">
        <v>84</v>
      </c>
      <c r="L48" s="7" t="s">
        <v>85</v>
      </c>
      <c r="M48" s="11"/>
      <c r="N48" s="12" t="s">
        <v>30</v>
      </c>
      <c r="O48" s="7"/>
    </row>
    <row r="49" customFormat="false" ht="15" hidden="false" customHeight="false" outlineLevel="0" collapsed="false">
      <c r="A49" s="7" t="s">
        <v>318</v>
      </c>
      <c r="B49" s="8" t="s">
        <v>78</v>
      </c>
      <c r="C49" s="7" t="s">
        <v>43</v>
      </c>
      <c r="D49" s="7" t="s">
        <v>53</v>
      </c>
      <c r="E49" s="7" t="s">
        <v>319</v>
      </c>
      <c r="F49" s="9" t="s">
        <v>320</v>
      </c>
      <c r="G49" s="7" t="s">
        <v>316</v>
      </c>
      <c r="H49" s="7" t="s">
        <v>92</v>
      </c>
      <c r="I49" s="7" t="s">
        <v>321</v>
      </c>
      <c r="J49" s="14" t="s">
        <v>102</v>
      </c>
      <c r="K49" s="7" t="s">
        <v>84</v>
      </c>
      <c r="L49" s="7" t="s">
        <v>85</v>
      </c>
      <c r="M49" s="11"/>
      <c r="N49" s="12" t="s">
        <v>30</v>
      </c>
      <c r="O49" s="7" t="s">
        <v>322</v>
      </c>
    </row>
    <row r="50" customFormat="false" ht="15" hidden="false" customHeight="false" outlineLevel="0" collapsed="false">
      <c r="A50" s="7" t="s">
        <v>323</v>
      </c>
      <c r="B50" s="8" t="s">
        <v>78</v>
      </c>
      <c r="C50" s="7" t="s">
        <v>43</v>
      </c>
      <c r="D50" s="7" t="s">
        <v>53</v>
      </c>
      <c r="E50" s="7" t="s">
        <v>324</v>
      </c>
      <c r="F50" s="9" t="s">
        <v>325</v>
      </c>
      <c r="G50" s="7" t="s">
        <v>326</v>
      </c>
      <c r="H50" s="7" t="s">
        <v>92</v>
      </c>
      <c r="I50" s="7" t="s">
        <v>327</v>
      </c>
      <c r="J50" s="13" t="s">
        <v>94</v>
      </c>
      <c r="K50" s="7" t="s">
        <v>84</v>
      </c>
      <c r="L50" s="7" t="s">
        <v>85</v>
      </c>
      <c r="M50" s="11"/>
      <c r="N50" s="11" t="s">
        <v>31</v>
      </c>
      <c r="O50" s="7"/>
    </row>
    <row r="51" customFormat="false" ht="15" hidden="false" customHeight="false" outlineLevel="0" collapsed="false">
      <c r="A51" s="7" t="s">
        <v>328</v>
      </c>
      <c r="B51" s="8" t="s">
        <v>78</v>
      </c>
      <c r="C51" s="7" t="s">
        <v>43</v>
      </c>
      <c r="D51" s="7" t="s">
        <v>53</v>
      </c>
      <c r="E51" s="7" t="s">
        <v>329</v>
      </c>
      <c r="F51" s="9" t="s">
        <v>330</v>
      </c>
      <c r="G51" s="7" t="s">
        <v>331</v>
      </c>
      <c r="H51" s="7" t="s">
        <v>332</v>
      </c>
      <c r="I51" s="7" t="s">
        <v>333</v>
      </c>
      <c r="J51" s="13" t="s">
        <v>94</v>
      </c>
      <c r="K51" s="7" t="s">
        <v>84</v>
      </c>
      <c r="L51" s="7" t="s">
        <v>85</v>
      </c>
      <c r="M51" s="11" t="s">
        <v>334</v>
      </c>
      <c r="N51" s="12" t="s">
        <v>30</v>
      </c>
      <c r="O51" s="7" t="s">
        <v>335</v>
      </c>
    </row>
    <row r="52" customFormat="false" ht="15" hidden="false" customHeight="false" outlineLevel="0" collapsed="false">
      <c r="A52" s="7" t="s">
        <v>336</v>
      </c>
      <c r="B52" s="8" t="s">
        <v>78</v>
      </c>
      <c r="C52" s="7" t="s">
        <v>43</v>
      </c>
      <c r="D52" s="7" t="s">
        <v>53</v>
      </c>
      <c r="E52" s="7" t="s">
        <v>337</v>
      </c>
      <c r="F52" s="9" t="s">
        <v>338</v>
      </c>
      <c r="G52" s="7" t="s">
        <v>326</v>
      </c>
      <c r="H52" s="7" t="s">
        <v>82</v>
      </c>
      <c r="I52" s="7" t="s">
        <v>339</v>
      </c>
      <c r="J52" s="10" t="s">
        <v>78</v>
      </c>
      <c r="K52" s="7" t="s">
        <v>84</v>
      </c>
      <c r="L52" s="7" t="s">
        <v>85</v>
      </c>
      <c r="M52" s="11"/>
      <c r="N52" s="11" t="s">
        <v>31</v>
      </c>
      <c r="O52" s="7"/>
    </row>
    <row r="53" customFormat="false" ht="15" hidden="false" customHeight="false" outlineLevel="0" collapsed="false">
      <c r="A53" s="7" t="s">
        <v>340</v>
      </c>
      <c r="B53" s="8" t="s">
        <v>78</v>
      </c>
      <c r="C53" s="7" t="s">
        <v>43</v>
      </c>
      <c r="D53" s="7" t="s">
        <v>53</v>
      </c>
      <c r="E53" s="7" t="s">
        <v>341</v>
      </c>
      <c r="F53" s="9" t="s">
        <v>342</v>
      </c>
      <c r="G53" s="7" t="s">
        <v>343</v>
      </c>
      <c r="H53" s="7" t="s">
        <v>92</v>
      </c>
      <c r="I53" s="7" t="s">
        <v>344</v>
      </c>
      <c r="J53" s="13" t="s">
        <v>94</v>
      </c>
      <c r="K53" s="7" t="s">
        <v>84</v>
      </c>
      <c r="L53" s="7" t="s">
        <v>95</v>
      </c>
      <c r="M53" s="11"/>
      <c r="N53" s="11" t="s">
        <v>31</v>
      </c>
      <c r="O53" s="7"/>
    </row>
    <row r="54" customFormat="false" ht="15" hidden="false" customHeight="false" outlineLevel="0" collapsed="false">
      <c r="A54" s="7" t="s">
        <v>345</v>
      </c>
      <c r="B54" s="8" t="s">
        <v>78</v>
      </c>
      <c r="C54" s="7" t="s">
        <v>43</v>
      </c>
      <c r="D54" s="7" t="s">
        <v>53</v>
      </c>
      <c r="E54" s="7" t="s">
        <v>346</v>
      </c>
      <c r="F54" s="9" t="s">
        <v>347</v>
      </c>
      <c r="G54" s="7" t="s">
        <v>168</v>
      </c>
      <c r="H54" s="7" t="s">
        <v>243</v>
      </c>
      <c r="I54" s="7"/>
      <c r="J54" s="14" t="s">
        <v>102</v>
      </c>
      <c r="K54" s="7" t="s">
        <v>84</v>
      </c>
      <c r="L54" s="7" t="s">
        <v>85</v>
      </c>
      <c r="M54" s="11"/>
      <c r="N54" s="11" t="s">
        <v>31</v>
      </c>
      <c r="O54" s="7"/>
    </row>
    <row r="55" customFormat="false" ht="15" hidden="false" customHeight="false" outlineLevel="0" collapsed="false">
      <c r="A55" s="7" t="s">
        <v>348</v>
      </c>
      <c r="B55" s="8" t="s">
        <v>78</v>
      </c>
      <c r="C55" s="7" t="s">
        <v>43</v>
      </c>
      <c r="D55" s="7" t="s">
        <v>53</v>
      </c>
      <c r="E55" s="7" t="s">
        <v>349</v>
      </c>
      <c r="F55" s="9" t="s">
        <v>350</v>
      </c>
      <c r="G55" s="7" t="s">
        <v>168</v>
      </c>
      <c r="H55" s="7" t="s">
        <v>351</v>
      </c>
      <c r="I55" s="7" t="s">
        <v>352</v>
      </c>
      <c r="J55" s="10" t="s">
        <v>78</v>
      </c>
      <c r="K55" s="7" t="s">
        <v>84</v>
      </c>
      <c r="L55" s="7" t="s">
        <v>85</v>
      </c>
      <c r="M55" s="11"/>
      <c r="N55" s="12" t="s">
        <v>30</v>
      </c>
      <c r="O55" s="7"/>
    </row>
    <row r="56" customFormat="false" ht="15" hidden="false" customHeight="false" outlineLevel="0" collapsed="false">
      <c r="A56" s="7" t="s">
        <v>353</v>
      </c>
      <c r="B56" s="8" t="s">
        <v>78</v>
      </c>
      <c r="C56" s="7" t="s">
        <v>43</v>
      </c>
      <c r="D56" s="7" t="s">
        <v>55</v>
      </c>
      <c r="E56" s="7" t="s">
        <v>354</v>
      </c>
      <c r="F56" s="9" t="s">
        <v>355</v>
      </c>
      <c r="G56" s="7" t="s">
        <v>81</v>
      </c>
      <c r="H56" s="7" t="s">
        <v>92</v>
      </c>
      <c r="I56" s="7" t="s">
        <v>356</v>
      </c>
      <c r="J56" s="13" t="s">
        <v>94</v>
      </c>
      <c r="K56" s="7" t="s">
        <v>84</v>
      </c>
      <c r="L56" s="7" t="s">
        <v>85</v>
      </c>
      <c r="M56" s="11" t="s">
        <v>357</v>
      </c>
      <c r="N56" s="12" t="s">
        <v>30</v>
      </c>
      <c r="O56" s="7" t="s">
        <v>358</v>
      </c>
    </row>
    <row r="57" customFormat="false" ht="15" hidden="false" customHeight="false" outlineLevel="0" collapsed="false">
      <c r="A57" s="7" t="s">
        <v>359</v>
      </c>
      <c r="B57" s="8" t="s">
        <v>78</v>
      </c>
      <c r="C57" s="7" t="s">
        <v>43</v>
      </c>
      <c r="D57" s="7" t="s">
        <v>55</v>
      </c>
      <c r="E57" s="7" t="s">
        <v>360</v>
      </c>
      <c r="F57" s="9" t="s">
        <v>361</v>
      </c>
      <c r="G57" s="7" t="s">
        <v>168</v>
      </c>
      <c r="H57" s="7" t="s">
        <v>92</v>
      </c>
      <c r="I57" s="7" t="s">
        <v>362</v>
      </c>
      <c r="J57" s="13" t="s">
        <v>94</v>
      </c>
      <c r="K57" s="7" t="s">
        <v>84</v>
      </c>
      <c r="L57" s="7" t="s">
        <v>85</v>
      </c>
      <c r="M57" s="11" t="s">
        <v>363</v>
      </c>
      <c r="N57" s="12" t="s">
        <v>30</v>
      </c>
      <c r="O57" s="7"/>
    </row>
    <row r="58" customFormat="false" ht="15" hidden="false" customHeight="false" outlineLevel="0" collapsed="false">
      <c r="A58" s="7" t="s">
        <v>364</v>
      </c>
      <c r="B58" s="8" t="s">
        <v>78</v>
      </c>
      <c r="C58" s="7" t="s">
        <v>43</v>
      </c>
      <c r="D58" s="7" t="s">
        <v>55</v>
      </c>
      <c r="E58" s="7" t="s">
        <v>365</v>
      </c>
      <c r="F58" s="9" t="s">
        <v>366</v>
      </c>
      <c r="G58" s="7" t="s">
        <v>81</v>
      </c>
      <c r="H58" s="7" t="s">
        <v>92</v>
      </c>
      <c r="I58" s="7" t="s">
        <v>367</v>
      </c>
      <c r="J58" s="13" t="s">
        <v>94</v>
      </c>
      <c r="K58" s="7" t="s">
        <v>84</v>
      </c>
      <c r="L58" s="7" t="s">
        <v>85</v>
      </c>
      <c r="M58" s="11"/>
      <c r="N58" s="11" t="s">
        <v>31</v>
      </c>
      <c r="O58" s="7"/>
    </row>
    <row r="59" customFormat="false" ht="15" hidden="false" customHeight="false" outlineLevel="0" collapsed="false">
      <c r="A59" s="7" t="s">
        <v>368</v>
      </c>
      <c r="B59" s="8" t="s">
        <v>78</v>
      </c>
      <c r="C59" s="7" t="s">
        <v>43</v>
      </c>
      <c r="D59" s="7" t="s">
        <v>55</v>
      </c>
      <c r="E59" s="7" t="s">
        <v>369</v>
      </c>
      <c r="F59" s="9" t="s">
        <v>370</v>
      </c>
      <c r="G59" s="7" t="s">
        <v>81</v>
      </c>
      <c r="H59" s="7" t="s">
        <v>100</v>
      </c>
      <c r="I59" s="7"/>
      <c r="J59" s="14" t="s">
        <v>102</v>
      </c>
      <c r="K59" s="7" t="s">
        <v>84</v>
      </c>
      <c r="L59" s="7" t="s">
        <v>85</v>
      </c>
      <c r="M59" s="11"/>
      <c r="N59" s="11" t="s">
        <v>31</v>
      </c>
      <c r="O59" s="7"/>
    </row>
    <row r="60" customFormat="false" ht="15" hidden="false" customHeight="false" outlineLevel="0" collapsed="false">
      <c r="A60" s="7" t="s">
        <v>371</v>
      </c>
      <c r="B60" s="8" t="s">
        <v>78</v>
      </c>
      <c r="C60" s="7" t="s">
        <v>43</v>
      </c>
      <c r="D60" s="7" t="s">
        <v>55</v>
      </c>
      <c r="E60" s="7" t="s">
        <v>372</v>
      </c>
      <c r="F60" s="9" t="s">
        <v>373</v>
      </c>
      <c r="G60" s="7" t="s">
        <v>91</v>
      </c>
      <c r="H60" s="7" t="s">
        <v>92</v>
      </c>
      <c r="I60" s="7"/>
      <c r="J60" s="13" t="s">
        <v>94</v>
      </c>
      <c r="K60" s="7" t="s">
        <v>84</v>
      </c>
      <c r="L60" s="7" t="s">
        <v>85</v>
      </c>
      <c r="M60" s="11"/>
      <c r="N60" s="11" t="s">
        <v>31</v>
      </c>
      <c r="O60" s="7"/>
    </row>
    <row r="61" customFormat="false" ht="15" hidden="false" customHeight="false" outlineLevel="0" collapsed="false">
      <c r="A61" s="7" t="s">
        <v>374</v>
      </c>
      <c r="B61" s="8" t="s">
        <v>78</v>
      </c>
      <c r="C61" s="7" t="s">
        <v>43</v>
      </c>
      <c r="D61" s="7" t="s">
        <v>55</v>
      </c>
      <c r="E61" s="7" t="s">
        <v>375</v>
      </c>
      <c r="F61" s="9" t="s">
        <v>376</v>
      </c>
      <c r="G61" s="7" t="s">
        <v>107</v>
      </c>
      <c r="H61" s="7" t="s">
        <v>120</v>
      </c>
      <c r="I61" s="7"/>
      <c r="J61" s="13" t="s">
        <v>94</v>
      </c>
      <c r="K61" s="7" t="s">
        <v>84</v>
      </c>
      <c r="L61" s="7" t="s">
        <v>85</v>
      </c>
      <c r="M61" s="11"/>
      <c r="N61" s="11" t="s">
        <v>31</v>
      </c>
      <c r="O61" s="7"/>
    </row>
    <row r="62" customFormat="false" ht="15" hidden="false" customHeight="false" outlineLevel="0" collapsed="false">
      <c r="A62" s="15" t="s">
        <v>377</v>
      </c>
      <c r="B62" s="16" t="s">
        <v>174</v>
      </c>
      <c r="C62" s="15" t="s">
        <v>43</v>
      </c>
      <c r="D62" s="15" t="s">
        <v>378</v>
      </c>
      <c r="E62" s="15" t="s">
        <v>379</v>
      </c>
      <c r="F62" s="17" t="s">
        <v>380</v>
      </c>
      <c r="G62" s="15" t="s">
        <v>81</v>
      </c>
      <c r="H62" s="15" t="s">
        <v>92</v>
      </c>
      <c r="I62" s="15" t="s">
        <v>381</v>
      </c>
      <c r="J62" s="13" t="s">
        <v>94</v>
      </c>
      <c r="K62" s="15" t="s">
        <v>179</v>
      </c>
      <c r="L62" s="15" t="s">
        <v>85</v>
      </c>
      <c r="M62" s="11" t="s">
        <v>382</v>
      </c>
      <c r="N62" s="12" t="s">
        <v>30</v>
      </c>
      <c r="O62" s="15" t="s">
        <v>383</v>
      </c>
    </row>
    <row r="63" customFormat="false" ht="15" hidden="false" customHeight="false" outlineLevel="0" collapsed="false">
      <c r="A63" s="15" t="s">
        <v>384</v>
      </c>
      <c r="B63" s="16" t="s">
        <v>174</v>
      </c>
      <c r="C63" s="15" t="s">
        <v>43</v>
      </c>
      <c r="D63" s="15" t="s">
        <v>378</v>
      </c>
      <c r="E63" s="15" t="s">
        <v>385</v>
      </c>
      <c r="F63" s="17" t="s">
        <v>386</v>
      </c>
      <c r="G63" s="15" t="s">
        <v>168</v>
      </c>
      <c r="H63" s="15" t="s">
        <v>92</v>
      </c>
      <c r="I63" s="15" t="s">
        <v>387</v>
      </c>
      <c r="J63" s="13" t="s">
        <v>94</v>
      </c>
      <c r="K63" s="15" t="s">
        <v>179</v>
      </c>
      <c r="L63" s="15" t="s">
        <v>85</v>
      </c>
      <c r="M63" s="11" t="s">
        <v>388</v>
      </c>
      <c r="N63" s="12" t="s">
        <v>30</v>
      </c>
      <c r="O63" s="15"/>
    </row>
    <row r="64" customFormat="false" ht="15" hidden="false" customHeight="false" outlineLevel="0" collapsed="false">
      <c r="A64" s="15" t="s">
        <v>389</v>
      </c>
      <c r="B64" s="16" t="s">
        <v>174</v>
      </c>
      <c r="C64" s="15" t="s">
        <v>43</v>
      </c>
      <c r="D64" s="15" t="s">
        <v>378</v>
      </c>
      <c r="E64" s="15" t="s">
        <v>390</v>
      </c>
      <c r="F64" s="17" t="s">
        <v>391</v>
      </c>
      <c r="G64" s="15" t="s">
        <v>81</v>
      </c>
      <c r="H64" s="15" t="s">
        <v>92</v>
      </c>
      <c r="I64" s="15" t="s">
        <v>392</v>
      </c>
      <c r="J64" s="13" t="s">
        <v>94</v>
      </c>
      <c r="K64" s="15" t="s">
        <v>179</v>
      </c>
      <c r="L64" s="15" t="s">
        <v>85</v>
      </c>
      <c r="M64" s="11"/>
      <c r="N64" s="11" t="s">
        <v>31</v>
      </c>
      <c r="O64" s="15"/>
    </row>
    <row r="65" customFormat="false" ht="15" hidden="false" customHeight="false" outlineLevel="0" collapsed="false">
      <c r="A65" s="15" t="s">
        <v>393</v>
      </c>
      <c r="B65" s="16" t="s">
        <v>174</v>
      </c>
      <c r="C65" s="15" t="s">
        <v>43</v>
      </c>
      <c r="D65" s="15" t="s">
        <v>378</v>
      </c>
      <c r="E65" s="15" t="s">
        <v>394</v>
      </c>
      <c r="F65" s="17" t="s">
        <v>395</v>
      </c>
      <c r="G65" s="15" t="s">
        <v>168</v>
      </c>
      <c r="H65" s="15" t="s">
        <v>92</v>
      </c>
      <c r="I65" s="15" t="s">
        <v>396</v>
      </c>
      <c r="J65" s="13" t="s">
        <v>94</v>
      </c>
      <c r="K65" s="15" t="s">
        <v>179</v>
      </c>
      <c r="L65" s="15" t="s">
        <v>85</v>
      </c>
      <c r="M65" s="11" t="s">
        <v>397</v>
      </c>
      <c r="N65" s="12" t="s">
        <v>30</v>
      </c>
      <c r="O65" s="15"/>
    </row>
    <row r="66" customFormat="false" ht="15" hidden="false" customHeight="false" outlineLevel="0" collapsed="false">
      <c r="A66" s="15" t="s">
        <v>398</v>
      </c>
      <c r="B66" s="16" t="s">
        <v>174</v>
      </c>
      <c r="C66" s="15" t="s">
        <v>43</v>
      </c>
      <c r="D66" s="15" t="s">
        <v>399</v>
      </c>
      <c r="E66" s="15" t="s">
        <v>400</v>
      </c>
      <c r="F66" s="17" t="s">
        <v>401</v>
      </c>
      <c r="G66" s="15" t="s">
        <v>168</v>
      </c>
      <c r="H66" s="15" t="s">
        <v>351</v>
      </c>
      <c r="I66" s="15" t="s">
        <v>402</v>
      </c>
      <c r="J66" s="10" t="s">
        <v>78</v>
      </c>
      <c r="K66" s="15" t="s">
        <v>179</v>
      </c>
      <c r="L66" s="15" t="s">
        <v>85</v>
      </c>
      <c r="M66" s="11" t="s">
        <v>403</v>
      </c>
      <c r="N66" s="12" t="s">
        <v>30</v>
      </c>
      <c r="O66" s="15" t="s">
        <v>404</v>
      </c>
    </row>
    <row r="67" customFormat="false" ht="15" hidden="false" customHeight="false" outlineLevel="0" collapsed="false">
      <c r="A67" s="15" t="s">
        <v>405</v>
      </c>
      <c r="B67" s="16" t="s">
        <v>174</v>
      </c>
      <c r="C67" s="15" t="s">
        <v>43</v>
      </c>
      <c r="D67" s="15" t="s">
        <v>399</v>
      </c>
      <c r="E67" s="15" t="s">
        <v>406</v>
      </c>
      <c r="F67" s="17" t="s">
        <v>407</v>
      </c>
      <c r="G67" s="15" t="s">
        <v>168</v>
      </c>
      <c r="H67" s="15" t="s">
        <v>120</v>
      </c>
      <c r="I67" s="15" t="s">
        <v>408</v>
      </c>
      <c r="J67" s="10" t="s">
        <v>78</v>
      </c>
      <c r="K67" s="15" t="s">
        <v>179</v>
      </c>
      <c r="L67" s="15" t="s">
        <v>85</v>
      </c>
      <c r="M67" s="11"/>
      <c r="N67" s="12" t="s">
        <v>30</v>
      </c>
      <c r="O67" s="15"/>
    </row>
    <row r="68" customFormat="false" ht="15" hidden="false" customHeight="false" outlineLevel="0" collapsed="false">
      <c r="A68" s="7" t="s">
        <v>409</v>
      </c>
      <c r="B68" s="8" t="s">
        <v>78</v>
      </c>
      <c r="C68" s="7" t="s">
        <v>45</v>
      </c>
      <c r="D68" s="7" t="s">
        <v>57</v>
      </c>
      <c r="E68" s="7" t="s">
        <v>410</v>
      </c>
      <c r="F68" s="9" t="s">
        <v>411</v>
      </c>
      <c r="G68" s="7" t="s">
        <v>412</v>
      </c>
      <c r="H68" s="7" t="s">
        <v>92</v>
      </c>
      <c r="I68" s="7" t="s">
        <v>413</v>
      </c>
      <c r="J68" s="13" t="s">
        <v>94</v>
      </c>
      <c r="K68" s="7" t="s">
        <v>84</v>
      </c>
      <c r="L68" s="7" t="s">
        <v>85</v>
      </c>
      <c r="M68" s="11" t="s">
        <v>414</v>
      </c>
      <c r="N68" s="12" t="s">
        <v>30</v>
      </c>
      <c r="O68" s="7"/>
    </row>
    <row r="69" customFormat="false" ht="15" hidden="false" customHeight="false" outlineLevel="0" collapsed="false">
      <c r="A69" s="7" t="s">
        <v>415</v>
      </c>
      <c r="B69" s="8" t="s">
        <v>78</v>
      </c>
      <c r="C69" s="7" t="s">
        <v>45</v>
      </c>
      <c r="D69" s="7" t="s">
        <v>57</v>
      </c>
      <c r="E69" s="7" t="s">
        <v>416</v>
      </c>
      <c r="F69" s="9" t="s">
        <v>417</v>
      </c>
      <c r="G69" s="7" t="s">
        <v>412</v>
      </c>
      <c r="H69" s="7" t="s">
        <v>92</v>
      </c>
      <c r="I69" s="7"/>
      <c r="J69" s="13" t="s">
        <v>94</v>
      </c>
      <c r="K69" s="7" t="s">
        <v>84</v>
      </c>
      <c r="L69" s="7" t="s">
        <v>85</v>
      </c>
      <c r="M69" s="11"/>
      <c r="N69" s="12" t="s">
        <v>30</v>
      </c>
      <c r="O69" s="7"/>
    </row>
    <row r="70" customFormat="false" ht="15" hidden="false" customHeight="false" outlineLevel="0" collapsed="false">
      <c r="A70" s="7" t="s">
        <v>418</v>
      </c>
      <c r="B70" s="8" t="s">
        <v>78</v>
      </c>
      <c r="C70" s="7" t="s">
        <v>45</v>
      </c>
      <c r="D70" s="7" t="s">
        <v>57</v>
      </c>
      <c r="E70" s="7" t="s">
        <v>419</v>
      </c>
      <c r="F70" s="9" t="s">
        <v>420</v>
      </c>
      <c r="G70" s="7" t="s">
        <v>412</v>
      </c>
      <c r="H70" s="7" t="s">
        <v>82</v>
      </c>
      <c r="I70" s="7" t="s">
        <v>421</v>
      </c>
      <c r="J70" s="10" t="s">
        <v>78</v>
      </c>
      <c r="K70" s="7" t="s">
        <v>84</v>
      </c>
      <c r="L70" s="7" t="s">
        <v>85</v>
      </c>
      <c r="M70" s="11"/>
      <c r="N70" s="12" t="s">
        <v>30</v>
      </c>
      <c r="O70" s="7"/>
    </row>
    <row r="71" customFormat="false" ht="15" hidden="false" customHeight="false" outlineLevel="0" collapsed="false">
      <c r="A71" s="7" t="s">
        <v>422</v>
      </c>
      <c r="B71" s="8" t="s">
        <v>78</v>
      </c>
      <c r="C71" s="7" t="s">
        <v>45</v>
      </c>
      <c r="D71" s="7" t="s">
        <v>57</v>
      </c>
      <c r="E71" s="7" t="s">
        <v>423</v>
      </c>
      <c r="F71" s="9" t="s">
        <v>424</v>
      </c>
      <c r="G71" s="7" t="s">
        <v>425</v>
      </c>
      <c r="H71" s="7" t="s">
        <v>100</v>
      </c>
      <c r="I71" s="7" t="s">
        <v>426</v>
      </c>
      <c r="J71" s="14" t="s">
        <v>102</v>
      </c>
      <c r="K71" s="7" t="s">
        <v>84</v>
      </c>
      <c r="L71" s="7" t="s">
        <v>85</v>
      </c>
      <c r="M71" s="11"/>
      <c r="N71" s="11" t="s">
        <v>31</v>
      </c>
      <c r="O71" s="7"/>
    </row>
    <row r="72" customFormat="false" ht="15" hidden="false" customHeight="false" outlineLevel="0" collapsed="false">
      <c r="A72" s="7" t="s">
        <v>427</v>
      </c>
      <c r="B72" s="8" t="s">
        <v>78</v>
      </c>
      <c r="C72" s="7" t="s">
        <v>45</v>
      </c>
      <c r="D72" s="7" t="s">
        <v>57</v>
      </c>
      <c r="E72" s="7" t="s">
        <v>428</v>
      </c>
      <c r="F72" s="9" t="s">
        <v>429</v>
      </c>
      <c r="G72" s="7" t="s">
        <v>412</v>
      </c>
      <c r="H72" s="7" t="s">
        <v>92</v>
      </c>
      <c r="I72" s="7" t="s">
        <v>430</v>
      </c>
      <c r="J72" s="14" t="s">
        <v>102</v>
      </c>
      <c r="K72" s="7" t="s">
        <v>84</v>
      </c>
      <c r="L72" s="7" t="s">
        <v>85</v>
      </c>
      <c r="M72" s="11"/>
      <c r="N72" s="11" t="s">
        <v>31</v>
      </c>
      <c r="O72" s="7" t="s">
        <v>431</v>
      </c>
    </row>
    <row r="73" customFormat="false" ht="15" hidden="false" customHeight="false" outlineLevel="0" collapsed="false">
      <c r="A73" s="7" t="s">
        <v>432</v>
      </c>
      <c r="B73" s="8" t="s">
        <v>78</v>
      </c>
      <c r="C73" s="7" t="s">
        <v>45</v>
      </c>
      <c r="D73" s="7" t="s">
        <v>57</v>
      </c>
      <c r="E73" s="7" t="s">
        <v>433</v>
      </c>
      <c r="F73" s="9" t="s">
        <v>434</v>
      </c>
      <c r="G73" s="7" t="s">
        <v>412</v>
      </c>
      <c r="H73" s="7" t="s">
        <v>92</v>
      </c>
      <c r="I73" s="7" t="s">
        <v>435</v>
      </c>
      <c r="J73" s="13" t="s">
        <v>94</v>
      </c>
      <c r="K73" s="7" t="s">
        <v>84</v>
      </c>
      <c r="L73" s="7" t="s">
        <v>85</v>
      </c>
      <c r="M73" s="11"/>
      <c r="N73" s="11" t="s">
        <v>31</v>
      </c>
      <c r="O73" s="7"/>
    </row>
    <row r="74" customFormat="false" ht="15" hidden="false" customHeight="false" outlineLevel="0" collapsed="false">
      <c r="A74" s="7" t="s">
        <v>436</v>
      </c>
      <c r="B74" s="8" t="s">
        <v>78</v>
      </c>
      <c r="C74" s="7" t="s">
        <v>45</v>
      </c>
      <c r="D74" s="7" t="s">
        <v>59</v>
      </c>
      <c r="E74" s="7" t="s">
        <v>437</v>
      </c>
      <c r="F74" s="9" t="s">
        <v>438</v>
      </c>
      <c r="G74" s="7" t="s">
        <v>439</v>
      </c>
      <c r="H74" s="7" t="s">
        <v>82</v>
      </c>
      <c r="I74" s="7"/>
      <c r="J74" s="10" t="s">
        <v>78</v>
      </c>
      <c r="K74" s="7" t="s">
        <v>84</v>
      </c>
      <c r="L74" s="7" t="s">
        <v>85</v>
      </c>
      <c r="M74" s="11"/>
      <c r="N74" s="12" t="s">
        <v>30</v>
      </c>
      <c r="O74" s="7"/>
    </row>
    <row r="75" customFormat="false" ht="15" hidden="false" customHeight="false" outlineLevel="0" collapsed="false">
      <c r="A75" s="7" t="s">
        <v>440</v>
      </c>
      <c r="B75" s="8" t="s">
        <v>78</v>
      </c>
      <c r="C75" s="7" t="s">
        <v>45</v>
      </c>
      <c r="D75" s="7" t="s">
        <v>59</v>
      </c>
      <c r="E75" s="7" t="s">
        <v>441</v>
      </c>
      <c r="F75" s="9" t="s">
        <v>442</v>
      </c>
      <c r="G75" s="7" t="s">
        <v>443</v>
      </c>
      <c r="H75" s="7" t="s">
        <v>100</v>
      </c>
      <c r="I75" s="7"/>
      <c r="J75" s="14" t="s">
        <v>102</v>
      </c>
      <c r="K75" s="7" t="s">
        <v>84</v>
      </c>
      <c r="L75" s="7" t="s">
        <v>85</v>
      </c>
      <c r="M75" s="11" t="s">
        <v>444</v>
      </c>
      <c r="N75" s="12" t="s">
        <v>30</v>
      </c>
      <c r="O75" s="7"/>
    </row>
    <row r="76" customFormat="false" ht="15" hidden="false" customHeight="false" outlineLevel="0" collapsed="false">
      <c r="A76" s="7" t="s">
        <v>445</v>
      </c>
      <c r="B76" s="8" t="s">
        <v>78</v>
      </c>
      <c r="C76" s="7" t="s">
        <v>45</v>
      </c>
      <c r="D76" s="7" t="s">
        <v>59</v>
      </c>
      <c r="E76" s="7" t="s">
        <v>446</v>
      </c>
      <c r="F76" s="9" t="s">
        <v>447</v>
      </c>
      <c r="G76" s="7" t="s">
        <v>443</v>
      </c>
      <c r="H76" s="7" t="s">
        <v>92</v>
      </c>
      <c r="I76" s="7"/>
      <c r="J76" s="13" t="s">
        <v>94</v>
      </c>
      <c r="K76" s="7" t="s">
        <v>84</v>
      </c>
      <c r="L76" s="7" t="s">
        <v>85</v>
      </c>
      <c r="M76" s="11"/>
      <c r="N76" s="11" t="s">
        <v>31</v>
      </c>
      <c r="O76" s="7"/>
    </row>
    <row r="77" customFormat="false" ht="15" hidden="false" customHeight="false" outlineLevel="0" collapsed="false">
      <c r="A77" s="7" t="s">
        <v>448</v>
      </c>
      <c r="B77" s="8" t="s">
        <v>78</v>
      </c>
      <c r="C77" s="7" t="s">
        <v>45</v>
      </c>
      <c r="D77" s="7" t="s">
        <v>59</v>
      </c>
      <c r="E77" s="7" t="s">
        <v>449</v>
      </c>
      <c r="F77" s="9" t="s">
        <v>450</v>
      </c>
      <c r="G77" s="7" t="s">
        <v>451</v>
      </c>
      <c r="H77" s="7" t="s">
        <v>82</v>
      </c>
      <c r="I77" s="7" t="s">
        <v>452</v>
      </c>
      <c r="J77" s="10" t="s">
        <v>78</v>
      </c>
      <c r="K77" s="7" t="s">
        <v>84</v>
      </c>
      <c r="L77" s="7" t="s">
        <v>85</v>
      </c>
      <c r="M77" s="11"/>
      <c r="N77" s="12" t="s">
        <v>30</v>
      </c>
      <c r="O77" s="7"/>
    </row>
    <row r="78" customFormat="false" ht="15" hidden="false" customHeight="false" outlineLevel="0" collapsed="false">
      <c r="A78" s="7" t="s">
        <v>453</v>
      </c>
      <c r="B78" s="8" t="s">
        <v>78</v>
      </c>
      <c r="C78" s="7" t="s">
        <v>45</v>
      </c>
      <c r="D78" s="7" t="s">
        <v>59</v>
      </c>
      <c r="E78" s="7" t="s">
        <v>454</v>
      </c>
      <c r="F78" s="9" t="s">
        <v>455</v>
      </c>
      <c r="G78" s="7" t="s">
        <v>439</v>
      </c>
      <c r="H78" s="7" t="s">
        <v>82</v>
      </c>
      <c r="I78" s="7" t="s">
        <v>456</v>
      </c>
      <c r="J78" s="10" t="s">
        <v>78</v>
      </c>
      <c r="K78" s="7" t="s">
        <v>84</v>
      </c>
      <c r="L78" s="7" t="s">
        <v>85</v>
      </c>
      <c r="M78" s="11"/>
      <c r="N78" s="11" t="s">
        <v>31</v>
      </c>
      <c r="O78" s="7"/>
    </row>
    <row r="79" customFormat="false" ht="15" hidden="false" customHeight="false" outlineLevel="0" collapsed="false">
      <c r="A79" s="7" t="s">
        <v>457</v>
      </c>
      <c r="B79" s="8" t="s">
        <v>78</v>
      </c>
      <c r="C79" s="7" t="s">
        <v>45</v>
      </c>
      <c r="D79" s="7" t="s">
        <v>59</v>
      </c>
      <c r="E79" s="7" t="s">
        <v>458</v>
      </c>
      <c r="F79" s="9" t="s">
        <v>459</v>
      </c>
      <c r="G79" s="7" t="s">
        <v>439</v>
      </c>
      <c r="H79" s="7" t="s">
        <v>82</v>
      </c>
      <c r="I79" s="7"/>
      <c r="J79" s="10" t="s">
        <v>78</v>
      </c>
      <c r="K79" s="7" t="s">
        <v>84</v>
      </c>
      <c r="L79" s="7" t="s">
        <v>85</v>
      </c>
      <c r="M79" s="11"/>
      <c r="N79" s="12" t="s">
        <v>30</v>
      </c>
      <c r="O79" s="7"/>
    </row>
    <row r="80" customFormat="false" ht="15" hidden="false" customHeight="false" outlineLevel="0" collapsed="false">
      <c r="A80" s="15" t="s">
        <v>460</v>
      </c>
      <c r="B80" s="16" t="s">
        <v>174</v>
      </c>
      <c r="C80" s="15" t="s">
        <v>45</v>
      </c>
      <c r="D80" s="15" t="s">
        <v>45</v>
      </c>
      <c r="E80" s="15" t="s">
        <v>461</v>
      </c>
      <c r="F80" s="17" t="s">
        <v>462</v>
      </c>
      <c r="G80" s="15" t="s">
        <v>463</v>
      </c>
      <c r="H80" s="15" t="s">
        <v>82</v>
      </c>
      <c r="I80" s="15" t="s">
        <v>464</v>
      </c>
      <c r="J80" s="10" t="s">
        <v>78</v>
      </c>
      <c r="K80" s="15" t="s">
        <v>179</v>
      </c>
      <c r="L80" s="15" t="s">
        <v>85</v>
      </c>
      <c r="M80" s="11"/>
      <c r="N80" s="12" t="s">
        <v>30</v>
      </c>
      <c r="O80" s="15"/>
    </row>
    <row r="81" customFormat="false" ht="15" hidden="false" customHeight="false" outlineLevel="0" collapsed="false">
      <c r="A81" s="15" t="s">
        <v>465</v>
      </c>
      <c r="B81" s="16" t="s">
        <v>174</v>
      </c>
      <c r="C81" s="15" t="s">
        <v>45</v>
      </c>
      <c r="D81" s="15" t="s">
        <v>45</v>
      </c>
      <c r="E81" s="15" t="s">
        <v>466</v>
      </c>
      <c r="F81" s="17" t="s">
        <v>467</v>
      </c>
      <c r="G81" s="15" t="s">
        <v>463</v>
      </c>
      <c r="H81" s="15" t="s">
        <v>82</v>
      </c>
      <c r="I81" s="15"/>
      <c r="J81" s="10" t="s">
        <v>78</v>
      </c>
      <c r="K81" s="15" t="s">
        <v>179</v>
      </c>
      <c r="L81" s="15" t="s">
        <v>85</v>
      </c>
      <c r="M81" s="11"/>
      <c r="N81" s="12" t="s">
        <v>30</v>
      </c>
      <c r="O81" s="15"/>
    </row>
    <row r="82" customFormat="false" ht="15" hidden="false" customHeight="false" outlineLevel="0" collapsed="false">
      <c r="A82" s="15" t="s">
        <v>468</v>
      </c>
      <c r="B82" s="16" t="s">
        <v>174</v>
      </c>
      <c r="C82" s="15" t="s">
        <v>45</v>
      </c>
      <c r="D82" s="15" t="s">
        <v>45</v>
      </c>
      <c r="E82" s="15" t="s">
        <v>469</v>
      </c>
      <c r="F82" s="17" t="s">
        <v>470</v>
      </c>
      <c r="G82" s="15" t="s">
        <v>168</v>
      </c>
      <c r="H82" s="15" t="s">
        <v>471</v>
      </c>
      <c r="I82" s="15"/>
      <c r="J82" s="10" t="s">
        <v>78</v>
      </c>
      <c r="K82" s="15" t="s">
        <v>179</v>
      </c>
      <c r="L82" s="15" t="s">
        <v>85</v>
      </c>
      <c r="M82" s="11"/>
      <c r="N82" s="11" t="s">
        <v>31</v>
      </c>
      <c r="O82" s="15"/>
    </row>
    <row r="83" customFormat="false" ht="15" hidden="false" customHeight="false" outlineLevel="0" collapsed="false">
      <c r="A83" s="15" t="s">
        <v>472</v>
      </c>
      <c r="B83" s="16" t="s">
        <v>174</v>
      </c>
      <c r="C83" s="15" t="s">
        <v>45</v>
      </c>
      <c r="D83" s="15" t="s">
        <v>45</v>
      </c>
      <c r="E83" s="15" t="s">
        <v>473</v>
      </c>
      <c r="F83" s="17" t="s">
        <v>474</v>
      </c>
      <c r="G83" s="15" t="s">
        <v>168</v>
      </c>
      <c r="H83" s="15" t="s">
        <v>82</v>
      </c>
      <c r="I83" s="15" t="s">
        <v>475</v>
      </c>
      <c r="J83" s="10" t="s">
        <v>78</v>
      </c>
      <c r="K83" s="15" t="s">
        <v>179</v>
      </c>
      <c r="L83" s="15" t="s">
        <v>85</v>
      </c>
      <c r="M83" s="11" t="s">
        <v>476</v>
      </c>
      <c r="N83" s="12" t="s">
        <v>30</v>
      </c>
      <c r="O83" s="15"/>
    </row>
    <row r="84" customFormat="false" ht="15" hidden="false" customHeight="false" outlineLevel="0" collapsed="false">
      <c r="A84" s="7" t="s">
        <v>477</v>
      </c>
      <c r="B84" s="8" t="s">
        <v>78</v>
      </c>
      <c r="C84" s="7" t="s">
        <v>48</v>
      </c>
      <c r="D84" s="7" t="s">
        <v>61</v>
      </c>
      <c r="E84" s="7" t="s">
        <v>478</v>
      </c>
      <c r="F84" s="9" t="s">
        <v>479</v>
      </c>
      <c r="G84" s="7" t="s">
        <v>480</v>
      </c>
      <c r="H84" s="7" t="s">
        <v>100</v>
      </c>
      <c r="I84" s="7" t="s">
        <v>481</v>
      </c>
      <c r="J84" s="14" t="s">
        <v>102</v>
      </c>
      <c r="K84" s="7" t="s">
        <v>84</v>
      </c>
      <c r="L84" s="7" t="s">
        <v>85</v>
      </c>
      <c r="M84" s="11" t="s">
        <v>482</v>
      </c>
      <c r="N84" s="12" t="s">
        <v>30</v>
      </c>
      <c r="O84" s="7"/>
    </row>
    <row r="85" customFormat="false" ht="15" hidden="false" customHeight="false" outlineLevel="0" collapsed="false">
      <c r="A85" s="7" t="s">
        <v>483</v>
      </c>
      <c r="B85" s="8" t="s">
        <v>78</v>
      </c>
      <c r="C85" s="7" t="s">
        <v>48</v>
      </c>
      <c r="D85" s="7" t="s">
        <v>61</v>
      </c>
      <c r="E85" s="7" t="s">
        <v>484</v>
      </c>
      <c r="F85" s="9" t="s">
        <v>485</v>
      </c>
      <c r="G85" s="7" t="s">
        <v>486</v>
      </c>
      <c r="H85" s="7" t="s">
        <v>100</v>
      </c>
      <c r="I85" s="7"/>
      <c r="J85" s="14" t="s">
        <v>102</v>
      </c>
      <c r="K85" s="7" t="s">
        <v>84</v>
      </c>
      <c r="L85" s="7" t="s">
        <v>85</v>
      </c>
      <c r="M85" s="11"/>
      <c r="N85" s="11" t="s">
        <v>31</v>
      </c>
      <c r="O85" s="7"/>
    </row>
    <row r="86" customFormat="false" ht="15" hidden="false" customHeight="false" outlineLevel="0" collapsed="false">
      <c r="A86" s="7" t="s">
        <v>487</v>
      </c>
      <c r="B86" s="8" t="s">
        <v>78</v>
      </c>
      <c r="C86" s="7" t="s">
        <v>48</v>
      </c>
      <c r="D86" s="7" t="s">
        <v>61</v>
      </c>
      <c r="E86" s="7" t="s">
        <v>488</v>
      </c>
      <c r="F86" s="9" t="s">
        <v>489</v>
      </c>
      <c r="G86" s="7" t="s">
        <v>486</v>
      </c>
      <c r="H86" s="7" t="s">
        <v>92</v>
      </c>
      <c r="I86" s="7" t="s">
        <v>490</v>
      </c>
      <c r="J86" s="13" t="s">
        <v>94</v>
      </c>
      <c r="K86" s="7" t="s">
        <v>84</v>
      </c>
      <c r="L86" s="7" t="s">
        <v>85</v>
      </c>
      <c r="M86" s="11"/>
      <c r="N86" s="12" t="s">
        <v>30</v>
      </c>
      <c r="O86" s="7"/>
    </row>
    <row r="87" customFormat="false" ht="15" hidden="false" customHeight="false" outlineLevel="0" collapsed="false">
      <c r="A87" s="7" t="s">
        <v>491</v>
      </c>
      <c r="B87" s="8" t="s">
        <v>78</v>
      </c>
      <c r="C87" s="7" t="s">
        <v>48</v>
      </c>
      <c r="D87" s="7" t="s">
        <v>61</v>
      </c>
      <c r="E87" s="7" t="s">
        <v>492</v>
      </c>
      <c r="F87" s="9" t="s">
        <v>493</v>
      </c>
      <c r="G87" s="7" t="s">
        <v>480</v>
      </c>
      <c r="H87" s="7" t="s">
        <v>82</v>
      </c>
      <c r="I87" s="7" t="s">
        <v>494</v>
      </c>
      <c r="J87" s="10" t="s">
        <v>78</v>
      </c>
      <c r="K87" s="7" t="s">
        <v>84</v>
      </c>
      <c r="L87" s="7" t="s">
        <v>85</v>
      </c>
      <c r="M87" s="11" t="s">
        <v>495</v>
      </c>
      <c r="N87" s="12" t="s">
        <v>30</v>
      </c>
      <c r="O87" s="7"/>
    </row>
    <row r="88" customFormat="false" ht="15" hidden="false" customHeight="false" outlineLevel="0" collapsed="false">
      <c r="A88" s="7" t="s">
        <v>496</v>
      </c>
      <c r="B88" s="8" t="s">
        <v>78</v>
      </c>
      <c r="C88" s="7" t="s">
        <v>48</v>
      </c>
      <c r="D88" s="7" t="s">
        <v>61</v>
      </c>
      <c r="E88" s="7" t="s">
        <v>497</v>
      </c>
      <c r="F88" s="9" t="s">
        <v>498</v>
      </c>
      <c r="G88" s="7" t="s">
        <v>463</v>
      </c>
      <c r="H88" s="7" t="s">
        <v>82</v>
      </c>
      <c r="I88" s="7" t="s">
        <v>499</v>
      </c>
      <c r="J88" s="10" t="s">
        <v>78</v>
      </c>
      <c r="K88" s="7" t="s">
        <v>84</v>
      </c>
      <c r="L88" s="7" t="s">
        <v>85</v>
      </c>
      <c r="M88" s="11"/>
      <c r="N88" s="11" t="s">
        <v>31</v>
      </c>
      <c r="O88" s="7"/>
    </row>
    <row r="89" customFormat="false" ht="15" hidden="false" customHeight="false" outlineLevel="0" collapsed="false">
      <c r="A89" s="7" t="s">
        <v>500</v>
      </c>
      <c r="B89" s="8" t="s">
        <v>78</v>
      </c>
      <c r="C89" s="7" t="s">
        <v>48</v>
      </c>
      <c r="D89" s="7" t="s">
        <v>61</v>
      </c>
      <c r="E89" s="7" t="s">
        <v>501</v>
      </c>
      <c r="F89" s="9" t="s">
        <v>502</v>
      </c>
      <c r="G89" s="7" t="s">
        <v>486</v>
      </c>
      <c r="H89" s="7" t="s">
        <v>239</v>
      </c>
      <c r="I89" s="7"/>
      <c r="J89" s="13" t="s">
        <v>94</v>
      </c>
      <c r="K89" s="7" t="s">
        <v>84</v>
      </c>
      <c r="L89" s="7" t="s">
        <v>85</v>
      </c>
      <c r="M89" s="11"/>
      <c r="N89" s="11" t="s">
        <v>31</v>
      </c>
      <c r="O89" s="7"/>
    </row>
    <row r="90" customFormat="false" ht="15" hidden="false" customHeight="false" outlineLevel="0" collapsed="false">
      <c r="A90" s="7" t="s">
        <v>503</v>
      </c>
      <c r="B90" s="8" t="s">
        <v>78</v>
      </c>
      <c r="C90" s="7" t="s">
        <v>48</v>
      </c>
      <c r="D90" s="7" t="s">
        <v>61</v>
      </c>
      <c r="E90" s="7" t="s">
        <v>504</v>
      </c>
      <c r="F90" s="9" t="s">
        <v>505</v>
      </c>
      <c r="G90" s="7" t="s">
        <v>463</v>
      </c>
      <c r="H90" s="7" t="s">
        <v>120</v>
      </c>
      <c r="I90" s="7" t="s">
        <v>506</v>
      </c>
      <c r="J90" s="10" t="s">
        <v>78</v>
      </c>
      <c r="K90" s="7" t="s">
        <v>84</v>
      </c>
      <c r="L90" s="7" t="s">
        <v>85</v>
      </c>
      <c r="M90" s="11"/>
      <c r="N90" s="12" t="s">
        <v>30</v>
      </c>
      <c r="O90" s="7"/>
    </row>
    <row r="91" customFormat="false" ht="15" hidden="false" customHeight="false" outlineLevel="0" collapsed="false">
      <c r="A91" s="7" t="s">
        <v>507</v>
      </c>
      <c r="B91" s="8" t="s">
        <v>78</v>
      </c>
      <c r="C91" s="7" t="s">
        <v>48</v>
      </c>
      <c r="D91" s="7" t="s">
        <v>61</v>
      </c>
      <c r="E91" s="7" t="s">
        <v>508</v>
      </c>
      <c r="F91" s="9" t="s">
        <v>509</v>
      </c>
      <c r="G91" s="7" t="s">
        <v>486</v>
      </c>
      <c r="H91" s="7" t="s">
        <v>92</v>
      </c>
      <c r="I91" s="7" t="s">
        <v>510</v>
      </c>
      <c r="J91" s="13" t="s">
        <v>94</v>
      </c>
      <c r="K91" s="7" t="s">
        <v>84</v>
      </c>
      <c r="L91" s="7" t="s">
        <v>85</v>
      </c>
      <c r="M91" s="11"/>
      <c r="N91" s="11" t="s">
        <v>31</v>
      </c>
      <c r="O91" s="7"/>
    </row>
    <row r="92" customFormat="false" ht="15" hidden="false" customHeight="false" outlineLevel="0" collapsed="false">
      <c r="A92" s="7" t="s">
        <v>511</v>
      </c>
      <c r="B92" s="8" t="s">
        <v>78</v>
      </c>
      <c r="C92" s="7" t="s">
        <v>48</v>
      </c>
      <c r="D92" s="7" t="s">
        <v>62</v>
      </c>
      <c r="E92" s="7" t="s">
        <v>512</v>
      </c>
      <c r="F92" s="9" t="s">
        <v>513</v>
      </c>
      <c r="G92" s="7" t="s">
        <v>168</v>
      </c>
      <c r="H92" s="7" t="s">
        <v>82</v>
      </c>
      <c r="I92" s="7"/>
      <c r="J92" s="10" t="s">
        <v>78</v>
      </c>
      <c r="K92" s="7" t="s">
        <v>84</v>
      </c>
      <c r="L92" s="7" t="s">
        <v>85</v>
      </c>
      <c r="M92" s="11" t="s">
        <v>514</v>
      </c>
      <c r="N92" s="12" t="s">
        <v>30</v>
      </c>
      <c r="O92" s="7"/>
    </row>
    <row r="93" customFormat="false" ht="15" hidden="false" customHeight="false" outlineLevel="0" collapsed="false">
      <c r="A93" s="7" t="s">
        <v>515</v>
      </c>
      <c r="B93" s="8" t="s">
        <v>78</v>
      </c>
      <c r="C93" s="7" t="s">
        <v>48</v>
      </c>
      <c r="D93" s="7" t="s">
        <v>62</v>
      </c>
      <c r="E93" s="7" t="s">
        <v>516</v>
      </c>
      <c r="F93" s="9" t="s">
        <v>517</v>
      </c>
      <c r="G93" s="7" t="s">
        <v>518</v>
      </c>
      <c r="H93" s="7" t="s">
        <v>92</v>
      </c>
      <c r="I93" s="7"/>
      <c r="J93" s="10" t="s">
        <v>78</v>
      </c>
      <c r="K93" s="7" t="s">
        <v>84</v>
      </c>
      <c r="L93" s="7" t="s">
        <v>85</v>
      </c>
      <c r="M93" s="11"/>
      <c r="N93" s="12" t="s">
        <v>30</v>
      </c>
      <c r="O93" s="7"/>
    </row>
    <row r="94" customFormat="false" ht="15" hidden="false" customHeight="false" outlineLevel="0" collapsed="false">
      <c r="A94" s="7" t="s">
        <v>519</v>
      </c>
      <c r="B94" s="8" t="s">
        <v>78</v>
      </c>
      <c r="C94" s="7" t="s">
        <v>48</v>
      </c>
      <c r="D94" s="7" t="s">
        <v>62</v>
      </c>
      <c r="E94" s="7" t="s">
        <v>520</v>
      </c>
      <c r="F94" s="9" t="s">
        <v>521</v>
      </c>
      <c r="G94" s="7" t="s">
        <v>518</v>
      </c>
      <c r="H94" s="7" t="s">
        <v>92</v>
      </c>
      <c r="I94" s="7" t="s">
        <v>522</v>
      </c>
      <c r="J94" s="10" t="s">
        <v>78</v>
      </c>
      <c r="K94" s="7" t="s">
        <v>84</v>
      </c>
      <c r="L94" s="7" t="s">
        <v>85</v>
      </c>
      <c r="M94" s="11"/>
      <c r="N94" s="12" t="s">
        <v>30</v>
      </c>
      <c r="O94" s="7" t="s">
        <v>523</v>
      </c>
    </row>
    <row r="95" customFormat="false" ht="15" hidden="false" customHeight="false" outlineLevel="0" collapsed="false">
      <c r="A95" s="7" t="s">
        <v>524</v>
      </c>
      <c r="B95" s="8" t="s">
        <v>78</v>
      </c>
      <c r="C95" s="7" t="s">
        <v>48</v>
      </c>
      <c r="D95" s="7" t="s">
        <v>62</v>
      </c>
      <c r="E95" s="7" t="s">
        <v>525</v>
      </c>
      <c r="F95" s="9" t="s">
        <v>526</v>
      </c>
      <c r="G95" s="7" t="s">
        <v>527</v>
      </c>
      <c r="H95" s="7" t="s">
        <v>100</v>
      </c>
      <c r="I95" s="7" t="s">
        <v>426</v>
      </c>
      <c r="J95" s="14" t="s">
        <v>102</v>
      </c>
      <c r="K95" s="7" t="s">
        <v>84</v>
      </c>
      <c r="L95" s="7" t="s">
        <v>85</v>
      </c>
      <c r="M95" s="11"/>
      <c r="N95" s="11" t="s">
        <v>31</v>
      </c>
      <c r="O95" s="7"/>
    </row>
    <row r="96" customFormat="false" ht="15" hidden="false" customHeight="false" outlineLevel="0" collapsed="false">
      <c r="A96" s="7" t="s">
        <v>528</v>
      </c>
      <c r="B96" s="8" t="s">
        <v>78</v>
      </c>
      <c r="C96" s="7" t="s">
        <v>48</v>
      </c>
      <c r="D96" s="7" t="s">
        <v>62</v>
      </c>
      <c r="E96" s="7" t="s">
        <v>529</v>
      </c>
      <c r="F96" s="9" t="s">
        <v>530</v>
      </c>
      <c r="G96" s="7" t="s">
        <v>518</v>
      </c>
      <c r="H96" s="7" t="s">
        <v>531</v>
      </c>
      <c r="I96" s="7"/>
      <c r="J96" s="10" t="s">
        <v>78</v>
      </c>
      <c r="K96" s="7" t="s">
        <v>84</v>
      </c>
      <c r="L96" s="7" t="s">
        <v>85</v>
      </c>
      <c r="M96" s="11"/>
      <c r="N96" s="11" t="s">
        <v>31</v>
      </c>
      <c r="O96" s="7"/>
    </row>
    <row r="97" customFormat="false" ht="15" hidden="false" customHeight="false" outlineLevel="0" collapsed="false">
      <c r="A97" s="7" t="s">
        <v>532</v>
      </c>
      <c r="B97" s="8" t="s">
        <v>78</v>
      </c>
      <c r="C97" s="7" t="s">
        <v>48</v>
      </c>
      <c r="D97" s="7" t="s">
        <v>62</v>
      </c>
      <c r="E97" s="7" t="s">
        <v>533</v>
      </c>
      <c r="F97" s="9" t="s">
        <v>534</v>
      </c>
      <c r="G97" s="7" t="s">
        <v>535</v>
      </c>
      <c r="H97" s="7" t="s">
        <v>92</v>
      </c>
      <c r="I97" s="7"/>
      <c r="J97" s="13" t="s">
        <v>94</v>
      </c>
      <c r="K97" s="7" t="s">
        <v>84</v>
      </c>
      <c r="L97" s="7" t="s">
        <v>85</v>
      </c>
      <c r="M97" s="11"/>
      <c r="N97" s="11" t="s">
        <v>31</v>
      </c>
      <c r="O97" s="7"/>
    </row>
    <row r="98" customFormat="false" ht="15" hidden="false" customHeight="false" outlineLevel="0" collapsed="false">
      <c r="A98" s="15" t="s">
        <v>536</v>
      </c>
      <c r="B98" s="16" t="s">
        <v>174</v>
      </c>
      <c r="C98" s="15" t="s">
        <v>48</v>
      </c>
      <c r="D98" s="15" t="s">
        <v>537</v>
      </c>
      <c r="E98" s="15" t="s">
        <v>538</v>
      </c>
      <c r="F98" s="17" t="s">
        <v>539</v>
      </c>
      <c r="G98" s="15" t="s">
        <v>540</v>
      </c>
      <c r="H98" s="15" t="s">
        <v>82</v>
      </c>
      <c r="I98" s="15" t="s">
        <v>541</v>
      </c>
      <c r="J98" s="10" t="s">
        <v>78</v>
      </c>
      <c r="K98" s="15" t="s">
        <v>179</v>
      </c>
      <c r="L98" s="15" t="s">
        <v>85</v>
      </c>
      <c r="M98" s="11" t="s">
        <v>542</v>
      </c>
      <c r="N98" s="12" t="s">
        <v>30</v>
      </c>
      <c r="O98" s="15"/>
    </row>
    <row r="99" customFormat="false" ht="15" hidden="false" customHeight="false" outlineLevel="0" collapsed="false">
      <c r="A99" s="15" t="s">
        <v>543</v>
      </c>
      <c r="B99" s="16" t="s">
        <v>174</v>
      </c>
      <c r="C99" s="15" t="s">
        <v>48</v>
      </c>
      <c r="D99" s="15" t="s">
        <v>537</v>
      </c>
      <c r="E99" s="15" t="s">
        <v>544</v>
      </c>
      <c r="F99" s="17" t="s">
        <v>545</v>
      </c>
      <c r="G99" s="15" t="s">
        <v>168</v>
      </c>
      <c r="H99" s="15" t="s">
        <v>92</v>
      </c>
      <c r="I99" s="15" t="s">
        <v>546</v>
      </c>
      <c r="J99" s="13" t="s">
        <v>94</v>
      </c>
      <c r="K99" s="15" t="s">
        <v>179</v>
      </c>
      <c r="L99" s="15" t="s">
        <v>85</v>
      </c>
      <c r="M99" s="11"/>
      <c r="N99" s="11" t="s">
        <v>31</v>
      </c>
      <c r="O99" s="15"/>
    </row>
    <row r="100" customFormat="false" ht="15" hidden="false" customHeight="false" outlineLevel="0" collapsed="false">
      <c r="A100" s="15" t="s">
        <v>547</v>
      </c>
      <c r="B100" s="16" t="s">
        <v>174</v>
      </c>
      <c r="C100" s="15" t="s">
        <v>48</v>
      </c>
      <c r="D100" s="15" t="s">
        <v>537</v>
      </c>
      <c r="E100" s="15" t="s">
        <v>548</v>
      </c>
      <c r="F100" s="17" t="s">
        <v>549</v>
      </c>
      <c r="G100" s="15" t="s">
        <v>550</v>
      </c>
      <c r="H100" s="15" t="s">
        <v>551</v>
      </c>
      <c r="I100" s="15" t="s">
        <v>552</v>
      </c>
      <c r="J100" s="13" t="s">
        <v>94</v>
      </c>
      <c r="K100" s="15" t="s">
        <v>179</v>
      </c>
      <c r="L100" s="15" t="s">
        <v>85</v>
      </c>
      <c r="M100" s="11"/>
      <c r="N100" s="11" t="s">
        <v>31</v>
      </c>
      <c r="O100" s="15"/>
    </row>
    <row r="101" customFormat="false" ht="15" hidden="false" customHeight="false" outlineLevel="0" collapsed="false">
      <c r="A101" s="21" t="s">
        <v>553</v>
      </c>
      <c r="B101" s="22" t="s">
        <v>94</v>
      </c>
      <c r="C101" s="21" t="s">
        <v>50</v>
      </c>
      <c r="D101" s="21" t="s">
        <v>63</v>
      </c>
      <c r="E101" s="21" t="s">
        <v>554</v>
      </c>
      <c r="F101" s="23" t="s">
        <v>555</v>
      </c>
      <c r="G101" s="21" t="s">
        <v>168</v>
      </c>
      <c r="H101" s="21" t="s">
        <v>92</v>
      </c>
      <c r="I101" s="21" t="s">
        <v>556</v>
      </c>
      <c r="J101" s="10" t="s">
        <v>78</v>
      </c>
      <c r="K101" s="21" t="s">
        <v>557</v>
      </c>
      <c r="L101" s="21" t="s">
        <v>85</v>
      </c>
      <c r="M101" s="11" t="s">
        <v>558</v>
      </c>
      <c r="N101" s="12" t="s">
        <v>30</v>
      </c>
      <c r="O101" s="21"/>
    </row>
    <row r="102" customFormat="false" ht="15" hidden="false" customHeight="false" outlineLevel="0" collapsed="false">
      <c r="A102" s="21" t="s">
        <v>559</v>
      </c>
      <c r="B102" s="22" t="s">
        <v>94</v>
      </c>
      <c r="C102" s="21" t="s">
        <v>50</v>
      </c>
      <c r="D102" s="21" t="s">
        <v>63</v>
      </c>
      <c r="E102" s="21" t="s">
        <v>560</v>
      </c>
      <c r="F102" s="23" t="s">
        <v>561</v>
      </c>
      <c r="G102" s="21" t="s">
        <v>168</v>
      </c>
      <c r="H102" s="21" t="s">
        <v>92</v>
      </c>
      <c r="I102" s="21" t="s">
        <v>562</v>
      </c>
      <c r="J102" s="10" t="s">
        <v>78</v>
      </c>
      <c r="K102" s="21" t="s">
        <v>557</v>
      </c>
      <c r="L102" s="21" t="s">
        <v>85</v>
      </c>
      <c r="M102" s="11" t="s">
        <v>563</v>
      </c>
      <c r="N102" s="12" t="s">
        <v>30</v>
      </c>
      <c r="O102" s="21"/>
    </row>
    <row r="103" customFormat="false" ht="15" hidden="false" customHeight="false" outlineLevel="0" collapsed="false">
      <c r="A103" s="21" t="s">
        <v>564</v>
      </c>
      <c r="B103" s="22" t="s">
        <v>94</v>
      </c>
      <c r="C103" s="21" t="s">
        <v>50</v>
      </c>
      <c r="D103" s="21" t="s">
        <v>63</v>
      </c>
      <c r="E103" s="21" t="s">
        <v>565</v>
      </c>
      <c r="F103" s="23" t="s">
        <v>566</v>
      </c>
      <c r="G103" s="21" t="s">
        <v>567</v>
      </c>
      <c r="H103" s="21" t="s">
        <v>92</v>
      </c>
      <c r="I103" s="21" t="s">
        <v>426</v>
      </c>
      <c r="J103" s="13" t="s">
        <v>94</v>
      </c>
      <c r="K103" s="21" t="s">
        <v>557</v>
      </c>
      <c r="L103" s="21" t="s">
        <v>85</v>
      </c>
      <c r="M103" s="11"/>
      <c r="N103" s="11" t="s">
        <v>31</v>
      </c>
      <c r="O103" s="21"/>
    </row>
    <row r="104" customFormat="false" ht="15" hidden="false" customHeight="false" outlineLevel="0" collapsed="false">
      <c r="A104" s="21" t="s">
        <v>568</v>
      </c>
      <c r="B104" s="22" t="s">
        <v>94</v>
      </c>
      <c r="C104" s="21" t="s">
        <v>50</v>
      </c>
      <c r="D104" s="21" t="s">
        <v>63</v>
      </c>
      <c r="E104" s="21" t="s">
        <v>569</v>
      </c>
      <c r="F104" s="23" t="s">
        <v>570</v>
      </c>
      <c r="G104" s="21" t="s">
        <v>168</v>
      </c>
      <c r="H104" s="21" t="s">
        <v>82</v>
      </c>
      <c r="I104" s="21"/>
      <c r="J104" s="10" t="s">
        <v>78</v>
      </c>
      <c r="K104" s="21" t="s">
        <v>557</v>
      </c>
      <c r="L104" s="21" t="s">
        <v>85</v>
      </c>
      <c r="M104" s="11"/>
      <c r="N104" s="11" t="s">
        <v>31</v>
      </c>
      <c r="O104" s="21"/>
    </row>
    <row r="105" customFormat="false" ht="15" hidden="false" customHeight="false" outlineLevel="0" collapsed="false">
      <c r="A105" s="21" t="s">
        <v>571</v>
      </c>
      <c r="B105" s="22" t="s">
        <v>94</v>
      </c>
      <c r="C105" s="21" t="s">
        <v>50</v>
      </c>
      <c r="D105" s="21" t="s">
        <v>63</v>
      </c>
      <c r="E105" s="21" t="s">
        <v>572</v>
      </c>
      <c r="F105" s="23" t="s">
        <v>573</v>
      </c>
      <c r="G105" s="21" t="s">
        <v>168</v>
      </c>
      <c r="H105" s="21" t="s">
        <v>574</v>
      </c>
      <c r="I105" s="21" t="s">
        <v>575</v>
      </c>
      <c r="J105" s="14" t="s">
        <v>102</v>
      </c>
      <c r="K105" s="21" t="s">
        <v>557</v>
      </c>
      <c r="L105" s="21" t="s">
        <v>85</v>
      </c>
      <c r="M105" s="11"/>
      <c r="N105" s="12" t="s">
        <v>30</v>
      </c>
      <c r="O105" s="21"/>
    </row>
    <row r="106" customFormat="false" ht="15" hidden="false" customHeight="false" outlineLevel="0" collapsed="false">
      <c r="A106" s="21" t="s">
        <v>576</v>
      </c>
      <c r="B106" s="22" t="s">
        <v>94</v>
      </c>
      <c r="C106" s="21" t="s">
        <v>50</v>
      </c>
      <c r="D106" s="21" t="s">
        <v>63</v>
      </c>
      <c r="E106" s="21" t="s">
        <v>577</v>
      </c>
      <c r="F106" s="23" t="s">
        <v>578</v>
      </c>
      <c r="G106" s="21" t="s">
        <v>168</v>
      </c>
      <c r="H106" s="21" t="s">
        <v>574</v>
      </c>
      <c r="I106" s="21"/>
      <c r="J106" s="14" t="s">
        <v>102</v>
      </c>
      <c r="K106" s="21" t="s">
        <v>557</v>
      </c>
      <c r="L106" s="21" t="s">
        <v>85</v>
      </c>
      <c r="M106" s="11"/>
      <c r="N106" s="12" t="s">
        <v>30</v>
      </c>
      <c r="O106" s="21"/>
    </row>
    <row r="107" customFormat="false" ht="15" hidden="false" customHeight="false" outlineLevel="0" collapsed="false">
      <c r="A107" s="21" t="s">
        <v>579</v>
      </c>
      <c r="B107" s="22" t="s">
        <v>94</v>
      </c>
      <c r="C107" s="21" t="s">
        <v>50</v>
      </c>
      <c r="D107" s="21" t="s">
        <v>63</v>
      </c>
      <c r="E107" s="21" t="s">
        <v>580</v>
      </c>
      <c r="F107" s="23" t="s">
        <v>581</v>
      </c>
      <c r="G107" s="21" t="s">
        <v>168</v>
      </c>
      <c r="H107" s="21" t="s">
        <v>120</v>
      </c>
      <c r="I107" s="21" t="s">
        <v>582</v>
      </c>
      <c r="J107" s="10" t="s">
        <v>78</v>
      </c>
      <c r="K107" s="21" t="s">
        <v>557</v>
      </c>
      <c r="L107" s="21" t="s">
        <v>85</v>
      </c>
      <c r="M107" s="11"/>
      <c r="N107" s="12" t="s">
        <v>30</v>
      </c>
      <c r="O107" s="21"/>
    </row>
    <row r="108" customFormat="false" ht="15" hidden="false" customHeight="false" outlineLevel="0" collapsed="false">
      <c r="A108" s="21" t="s">
        <v>583</v>
      </c>
      <c r="B108" s="22" t="s">
        <v>94</v>
      </c>
      <c r="C108" s="21" t="s">
        <v>50</v>
      </c>
      <c r="D108" s="21" t="s">
        <v>63</v>
      </c>
      <c r="E108" s="21" t="s">
        <v>584</v>
      </c>
      <c r="F108" s="23" t="s">
        <v>585</v>
      </c>
      <c r="G108" s="21" t="s">
        <v>168</v>
      </c>
      <c r="H108" s="21" t="s">
        <v>120</v>
      </c>
      <c r="I108" s="21" t="s">
        <v>556</v>
      </c>
      <c r="J108" s="10" t="s">
        <v>78</v>
      </c>
      <c r="K108" s="21" t="s">
        <v>557</v>
      </c>
      <c r="L108" s="21" t="s">
        <v>85</v>
      </c>
      <c r="M108" s="11"/>
      <c r="N108" s="11" t="s">
        <v>31</v>
      </c>
      <c r="O108" s="21"/>
    </row>
    <row r="109" customFormat="false" ht="15" hidden="false" customHeight="false" outlineLevel="0" collapsed="false">
      <c r="A109" s="21" t="s">
        <v>586</v>
      </c>
      <c r="B109" s="22" t="s">
        <v>94</v>
      </c>
      <c r="C109" s="21" t="s">
        <v>50</v>
      </c>
      <c r="D109" s="21" t="s">
        <v>63</v>
      </c>
      <c r="E109" s="21" t="s">
        <v>587</v>
      </c>
      <c r="F109" s="23" t="s">
        <v>588</v>
      </c>
      <c r="G109" s="21" t="s">
        <v>168</v>
      </c>
      <c r="H109" s="21" t="s">
        <v>120</v>
      </c>
      <c r="I109" s="21"/>
      <c r="J109" s="10" t="s">
        <v>78</v>
      </c>
      <c r="K109" s="21" t="s">
        <v>557</v>
      </c>
      <c r="L109" s="21" t="s">
        <v>85</v>
      </c>
      <c r="M109" s="11"/>
      <c r="N109" s="11" t="s">
        <v>31</v>
      </c>
      <c r="O109" s="21"/>
    </row>
    <row r="110" customFormat="false" ht="15" hidden="false" customHeight="false" outlineLevel="0" collapsed="false">
      <c r="A110" s="21" t="s">
        <v>589</v>
      </c>
      <c r="B110" s="22" t="s">
        <v>94</v>
      </c>
      <c r="C110" s="21" t="s">
        <v>50</v>
      </c>
      <c r="D110" s="21" t="s">
        <v>590</v>
      </c>
      <c r="E110" s="21" t="s">
        <v>591</v>
      </c>
      <c r="F110" s="23" t="s">
        <v>592</v>
      </c>
      <c r="G110" s="21" t="s">
        <v>593</v>
      </c>
      <c r="H110" s="21" t="s">
        <v>531</v>
      </c>
      <c r="I110" s="21" t="s">
        <v>594</v>
      </c>
      <c r="J110" s="10" t="s">
        <v>78</v>
      </c>
      <c r="K110" s="21" t="s">
        <v>557</v>
      </c>
      <c r="L110" s="21" t="s">
        <v>85</v>
      </c>
      <c r="M110" s="11" t="s">
        <v>595</v>
      </c>
      <c r="N110" s="12" t="s">
        <v>30</v>
      </c>
      <c r="O110" s="21"/>
    </row>
    <row r="111" customFormat="false" ht="15" hidden="false" customHeight="false" outlineLevel="0" collapsed="false">
      <c r="A111" s="21" t="s">
        <v>596</v>
      </c>
      <c r="B111" s="22" t="s">
        <v>94</v>
      </c>
      <c r="C111" s="21" t="s">
        <v>50</v>
      </c>
      <c r="D111" s="21" t="s">
        <v>590</v>
      </c>
      <c r="E111" s="21" t="s">
        <v>597</v>
      </c>
      <c r="F111" s="23" t="s">
        <v>598</v>
      </c>
      <c r="G111" s="21" t="s">
        <v>599</v>
      </c>
      <c r="H111" s="21" t="s">
        <v>92</v>
      </c>
      <c r="I111" s="21"/>
      <c r="J111" s="10" t="s">
        <v>78</v>
      </c>
      <c r="K111" s="21" t="s">
        <v>557</v>
      </c>
      <c r="L111" s="21" t="s">
        <v>85</v>
      </c>
      <c r="M111" s="11"/>
      <c r="N111" s="11" t="s">
        <v>31</v>
      </c>
      <c r="O111" s="21"/>
    </row>
    <row r="112" customFormat="false" ht="15" hidden="false" customHeight="false" outlineLevel="0" collapsed="false">
      <c r="A112" s="21" t="s">
        <v>600</v>
      </c>
      <c r="B112" s="22" t="s">
        <v>94</v>
      </c>
      <c r="C112" s="21" t="s">
        <v>50</v>
      </c>
      <c r="D112" s="21" t="s">
        <v>590</v>
      </c>
      <c r="E112" s="21" t="s">
        <v>601</v>
      </c>
      <c r="F112" s="23" t="s">
        <v>602</v>
      </c>
      <c r="G112" s="21" t="s">
        <v>603</v>
      </c>
      <c r="H112" s="21" t="s">
        <v>92</v>
      </c>
      <c r="I112" s="21" t="s">
        <v>199</v>
      </c>
      <c r="J112" s="10" t="s">
        <v>78</v>
      </c>
      <c r="K112" s="21" t="s">
        <v>557</v>
      </c>
      <c r="L112" s="21" t="s">
        <v>85</v>
      </c>
      <c r="M112" s="11"/>
      <c r="N112" s="11" t="s">
        <v>31</v>
      </c>
      <c r="O112" s="21"/>
    </row>
    <row r="113" customFormat="false" ht="15" hidden="false" customHeight="false" outlineLevel="0" collapsed="false">
      <c r="A113" s="21" t="s">
        <v>604</v>
      </c>
      <c r="B113" s="22" t="s">
        <v>94</v>
      </c>
      <c r="C113" s="21" t="s">
        <v>50</v>
      </c>
      <c r="D113" s="21" t="s">
        <v>590</v>
      </c>
      <c r="E113" s="21" t="s">
        <v>605</v>
      </c>
      <c r="F113" s="23" t="s">
        <v>606</v>
      </c>
      <c r="G113" s="21" t="s">
        <v>599</v>
      </c>
      <c r="H113" s="21" t="s">
        <v>120</v>
      </c>
      <c r="I113" s="21" t="s">
        <v>607</v>
      </c>
      <c r="J113" s="10" t="s">
        <v>78</v>
      </c>
      <c r="K113" s="21" t="s">
        <v>557</v>
      </c>
      <c r="L113" s="21" t="s">
        <v>85</v>
      </c>
      <c r="M113" s="11"/>
      <c r="N113" s="12" t="s">
        <v>30</v>
      </c>
      <c r="O113" s="21"/>
    </row>
    <row r="114" customFormat="false" ht="15" hidden="false" customHeight="false" outlineLevel="0" collapsed="false">
      <c r="A114" s="21" t="s">
        <v>608</v>
      </c>
      <c r="B114" s="22" t="s">
        <v>94</v>
      </c>
      <c r="C114" s="21" t="s">
        <v>50</v>
      </c>
      <c r="D114" s="21" t="s">
        <v>609</v>
      </c>
      <c r="E114" s="21" t="s">
        <v>610</v>
      </c>
      <c r="F114" s="23" t="s">
        <v>611</v>
      </c>
      <c r="G114" s="21" t="s">
        <v>612</v>
      </c>
      <c r="H114" s="21" t="s">
        <v>92</v>
      </c>
      <c r="I114" s="21"/>
      <c r="J114" s="10" t="s">
        <v>78</v>
      </c>
      <c r="K114" s="21" t="s">
        <v>557</v>
      </c>
      <c r="L114" s="21" t="s">
        <v>85</v>
      </c>
      <c r="M114" s="11"/>
      <c r="N114" s="11" t="s">
        <v>31</v>
      </c>
      <c r="O114" s="21"/>
    </row>
    <row r="115" customFormat="false" ht="15" hidden="false" customHeight="false" outlineLevel="0" collapsed="false">
      <c r="A115" s="21" t="s">
        <v>613</v>
      </c>
      <c r="B115" s="22" t="s">
        <v>94</v>
      </c>
      <c r="C115" s="21" t="s">
        <v>50</v>
      </c>
      <c r="D115" s="21" t="s">
        <v>609</v>
      </c>
      <c r="E115" s="21" t="s">
        <v>614</v>
      </c>
      <c r="F115" s="23" t="s">
        <v>615</v>
      </c>
      <c r="G115" s="21" t="s">
        <v>612</v>
      </c>
      <c r="H115" s="21" t="s">
        <v>120</v>
      </c>
      <c r="I115" s="21" t="s">
        <v>247</v>
      </c>
      <c r="J115" s="10" t="s">
        <v>78</v>
      </c>
      <c r="K115" s="21" t="s">
        <v>557</v>
      </c>
      <c r="L115" s="21" t="s">
        <v>85</v>
      </c>
      <c r="M115" s="11"/>
      <c r="N115" s="11" t="s">
        <v>31</v>
      </c>
      <c r="O115" s="21"/>
    </row>
    <row r="116" customFormat="false" ht="23.85" hidden="false" customHeight="false" outlineLevel="0" collapsed="false">
      <c r="A116" s="21" t="s">
        <v>616</v>
      </c>
      <c r="B116" s="22" t="s">
        <v>94</v>
      </c>
      <c r="C116" s="21" t="s">
        <v>50</v>
      </c>
      <c r="D116" s="21" t="s">
        <v>617</v>
      </c>
      <c r="E116" s="21" t="s">
        <v>618</v>
      </c>
      <c r="F116" s="23" t="s">
        <v>619</v>
      </c>
      <c r="G116" s="21" t="s">
        <v>168</v>
      </c>
      <c r="H116" s="21" t="s">
        <v>92</v>
      </c>
      <c r="I116" s="21"/>
      <c r="J116" s="10" t="s">
        <v>78</v>
      </c>
      <c r="K116" s="21" t="s">
        <v>557</v>
      </c>
      <c r="L116" s="21" t="s">
        <v>85</v>
      </c>
      <c r="M116" s="11" t="s">
        <v>620</v>
      </c>
      <c r="N116" s="12" t="s">
        <v>30</v>
      </c>
      <c r="O116" s="21"/>
    </row>
    <row r="117" customFormat="false" ht="15" hidden="false" customHeight="false" outlineLevel="0" collapsed="false">
      <c r="A117" s="21" t="s">
        <v>621</v>
      </c>
      <c r="B117" s="22" t="s">
        <v>94</v>
      </c>
      <c r="C117" s="21" t="s">
        <v>50</v>
      </c>
      <c r="D117" s="21" t="s">
        <v>617</v>
      </c>
      <c r="E117" s="21" t="s">
        <v>622</v>
      </c>
      <c r="F117" s="23" t="s">
        <v>623</v>
      </c>
      <c r="G117" s="21" t="s">
        <v>168</v>
      </c>
      <c r="H117" s="21" t="s">
        <v>120</v>
      </c>
      <c r="I117" s="21"/>
      <c r="J117" s="10" t="s">
        <v>78</v>
      </c>
      <c r="K117" s="21" t="s">
        <v>557</v>
      </c>
      <c r="L117" s="21" t="s">
        <v>85</v>
      </c>
      <c r="M117" s="11"/>
      <c r="N117" s="11" t="s">
        <v>31</v>
      </c>
      <c r="O117" s="21"/>
    </row>
    <row r="118" customFormat="false" ht="15" hidden="false" customHeight="false" outlineLevel="0" collapsed="false">
      <c r="A118" s="21" t="s">
        <v>624</v>
      </c>
      <c r="B118" s="22" t="s">
        <v>94</v>
      </c>
      <c r="C118" s="21" t="s">
        <v>50</v>
      </c>
      <c r="D118" s="21" t="s">
        <v>617</v>
      </c>
      <c r="E118" s="21" t="s">
        <v>625</v>
      </c>
      <c r="F118" s="23" t="s">
        <v>626</v>
      </c>
      <c r="G118" s="21" t="s">
        <v>277</v>
      </c>
      <c r="H118" s="21" t="s">
        <v>531</v>
      </c>
      <c r="I118" s="21"/>
      <c r="J118" s="10" t="s">
        <v>78</v>
      </c>
      <c r="K118" s="21" t="s">
        <v>557</v>
      </c>
      <c r="L118" s="21" t="s">
        <v>85</v>
      </c>
      <c r="M118" s="11" t="s">
        <v>627</v>
      </c>
      <c r="N118" s="12" t="s">
        <v>30</v>
      </c>
      <c r="O118" s="21"/>
    </row>
    <row r="119" customFormat="false" ht="23.85" hidden="false" customHeight="false" outlineLevel="0" collapsed="false">
      <c r="A119" s="21" t="s">
        <v>628</v>
      </c>
      <c r="B119" s="22" t="s">
        <v>94</v>
      </c>
      <c r="C119" s="21" t="s">
        <v>52</v>
      </c>
      <c r="D119" s="21" t="s">
        <v>64</v>
      </c>
      <c r="E119" s="21" t="s">
        <v>629</v>
      </c>
      <c r="F119" s="23" t="s">
        <v>630</v>
      </c>
      <c r="G119" s="21" t="s">
        <v>168</v>
      </c>
      <c r="H119" s="21" t="s">
        <v>92</v>
      </c>
      <c r="I119" s="21" t="s">
        <v>631</v>
      </c>
      <c r="J119" s="10" t="s">
        <v>78</v>
      </c>
      <c r="K119" s="21" t="s">
        <v>557</v>
      </c>
      <c r="L119" s="21" t="s">
        <v>85</v>
      </c>
      <c r="M119" s="11" t="s">
        <v>632</v>
      </c>
      <c r="N119" s="12" t="s">
        <v>30</v>
      </c>
      <c r="O119" s="21"/>
    </row>
    <row r="120" customFormat="false" ht="15" hidden="false" customHeight="false" outlineLevel="0" collapsed="false">
      <c r="A120" s="21" t="s">
        <v>633</v>
      </c>
      <c r="B120" s="22" t="s">
        <v>94</v>
      </c>
      <c r="C120" s="21" t="s">
        <v>52</v>
      </c>
      <c r="D120" s="21" t="s">
        <v>64</v>
      </c>
      <c r="E120" s="21" t="s">
        <v>634</v>
      </c>
      <c r="F120" s="23" t="s">
        <v>635</v>
      </c>
      <c r="G120" s="21" t="s">
        <v>168</v>
      </c>
      <c r="H120" s="21" t="s">
        <v>92</v>
      </c>
      <c r="I120" s="21" t="s">
        <v>631</v>
      </c>
      <c r="J120" s="10" t="s">
        <v>78</v>
      </c>
      <c r="K120" s="21" t="s">
        <v>557</v>
      </c>
      <c r="L120" s="21" t="s">
        <v>85</v>
      </c>
      <c r="M120" s="11"/>
      <c r="N120" s="11" t="s">
        <v>31</v>
      </c>
      <c r="O120" s="21"/>
    </row>
    <row r="121" customFormat="false" ht="15" hidden="false" customHeight="false" outlineLevel="0" collapsed="false">
      <c r="A121" s="21" t="s">
        <v>636</v>
      </c>
      <c r="B121" s="22" t="s">
        <v>94</v>
      </c>
      <c r="C121" s="21" t="s">
        <v>52</v>
      </c>
      <c r="D121" s="21" t="s">
        <v>64</v>
      </c>
      <c r="E121" s="21" t="s">
        <v>637</v>
      </c>
      <c r="F121" s="23" t="s">
        <v>638</v>
      </c>
      <c r="G121" s="21" t="s">
        <v>168</v>
      </c>
      <c r="H121" s="21" t="s">
        <v>92</v>
      </c>
      <c r="I121" s="21" t="s">
        <v>639</v>
      </c>
      <c r="J121" s="10" t="s">
        <v>78</v>
      </c>
      <c r="K121" s="21" t="s">
        <v>557</v>
      </c>
      <c r="L121" s="21" t="s">
        <v>85</v>
      </c>
      <c r="M121" s="11"/>
      <c r="N121" s="12" t="s">
        <v>30</v>
      </c>
      <c r="O121" s="21"/>
    </row>
    <row r="122" customFormat="false" ht="15" hidden="false" customHeight="false" outlineLevel="0" collapsed="false">
      <c r="A122" s="21" t="s">
        <v>640</v>
      </c>
      <c r="B122" s="22" t="s">
        <v>94</v>
      </c>
      <c r="C122" s="21" t="s">
        <v>52</v>
      </c>
      <c r="D122" s="21" t="s">
        <v>64</v>
      </c>
      <c r="E122" s="21" t="s">
        <v>641</v>
      </c>
      <c r="F122" s="23" t="s">
        <v>642</v>
      </c>
      <c r="G122" s="21" t="s">
        <v>168</v>
      </c>
      <c r="H122" s="21" t="s">
        <v>92</v>
      </c>
      <c r="I122" s="21" t="s">
        <v>643</v>
      </c>
      <c r="J122" s="10" t="s">
        <v>78</v>
      </c>
      <c r="K122" s="21" t="s">
        <v>557</v>
      </c>
      <c r="L122" s="21" t="s">
        <v>85</v>
      </c>
      <c r="M122" s="11"/>
      <c r="N122" s="11" t="s">
        <v>31</v>
      </c>
      <c r="O122" s="21"/>
    </row>
    <row r="123" customFormat="false" ht="15" hidden="false" customHeight="false" outlineLevel="0" collapsed="false">
      <c r="A123" s="21" t="s">
        <v>644</v>
      </c>
      <c r="B123" s="22" t="s">
        <v>94</v>
      </c>
      <c r="C123" s="21" t="s">
        <v>52</v>
      </c>
      <c r="D123" s="21" t="s">
        <v>64</v>
      </c>
      <c r="E123" s="21" t="s">
        <v>645</v>
      </c>
      <c r="F123" s="23" t="s">
        <v>646</v>
      </c>
      <c r="G123" s="21" t="s">
        <v>168</v>
      </c>
      <c r="H123" s="21" t="s">
        <v>574</v>
      </c>
      <c r="I123" s="21"/>
      <c r="J123" s="14" t="s">
        <v>102</v>
      </c>
      <c r="K123" s="21" t="s">
        <v>557</v>
      </c>
      <c r="L123" s="21" t="s">
        <v>95</v>
      </c>
      <c r="M123" s="11"/>
      <c r="N123" s="12" t="s">
        <v>30</v>
      </c>
      <c r="O123" s="21"/>
    </row>
    <row r="124" customFormat="false" ht="15" hidden="false" customHeight="false" outlineLevel="0" collapsed="false">
      <c r="A124" s="21" t="s">
        <v>647</v>
      </c>
      <c r="B124" s="22" t="s">
        <v>94</v>
      </c>
      <c r="C124" s="21" t="s">
        <v>52</v>
      </c>
      <c r="D124" s="21" t="s">
        <v>64</v>
      </c>
      <c r="E124" s="21" t="s">
        <v>648</v>
      </c>
      <c r="F124" s="23" t="s">
        <v>649</v>
      </c>
      <c r="G124" s="21" t="s">
        <v>168</v>
      </c>
      <c r="H124" s="21" t="s">
        <v>574</v>
      </c>
      <c r="I124" s="21" t="s">
        <v>650</v>
      </c>
      <c r="J124" s="10" t="s">
        <v>78</v>
      </c>
      <c r="K124" s="21" t="s">
        <v>557</v>
      </c>
      <c r="L124" s="21" t="s">
        <v>95</v>
      </c>
      <c r="M124" s="11"/>
      <c r="N124" s="11" t="s">
        <v>31</v>
      </c>
      <c r="O124" s="21"/>
    </row>
    <row r="125" customFormat="false" ht="15" hidden="false" customHeight="false" outlineLevel="0" collapsed="false">
      <c r="A125" s="21" t="s">
        <v>651</v>
      </c>
      <c r="B125" s="22" t="s">
        <v>94</v>
      </c>
      <c r="C125" s="21" t="s">
        <v>52</v>
      </c>
      <c r="D125" s="21" t="s">
        <v>64</v>
      </c>
      <c r="E125" s="21" t="s">
        <v>652</v>
      </c>
      <c r="F125" s="23" t="s">
        <v>653</v>
      </c>
      <c r="G125" s="21" t="s">
        <v>168</v>
      </c>
      <c r="H125" s="21" t="s">
        <v>120</v>
      </c>
      <c r="I125" s="21"/>
      <c r="J125" s="10" t="s">
        <v>78</v>
      </c>
      <c r="K125" s="21" t="s">
        <v>557</v>
      </c>
      <c r="L125" s="21" t="s">
        <v>85</v>
      </c>
      <c r="M125" s="11"/>
      <c r="N125" s="12" t="s">
        <v>30</v>
      </c>
      <c r="O125" s="21"/>
    </row>
    <row r="126" customFormat="false" ht="15" hidden="false" customHeight="false" outlineLevel="0" collapsed="false">
      <c r="A126" s="21" t="s">
        <v>654</v>
      </c>
      <c r="B126" s="22" t="s">
        <v>94</v>
      </c>
      <c r="C126" s="21" t="s">
        <v>52</v>
      </c>
      <c r="D126" s="21" t="s">
        <v>64</v>
      </c>
      <c r="E126" s="21" t="s">
        <v>655</v>
      </c>
      <c r="F126" s="23" t="s">
        <v>656</v>
      </c>
      <c r="G126" s="21" t="s">
        <v>168</v>
      </c>
      <c r="H126" s="21" t="s">
        <v>120</v>
      </c>
      <c r="I126" s="21" t="s">
        <v>657</v>
      </c>
      <c r="J126" s="13" t="s">
        <v>94</v>
      </c>
      <c r="K126" s="21" t="s">
        <v>557</v>
      </c>
      <c r="L126" s="21" t="s">
        <v>85</v>
      </c>
      <c r="M126" s="11"/>
      <c r="N126" s="11" t="s">
        <v>31</v>
      </c>
      <c r="O126" s="21"/>
    </row>
    <row r="127" customFormat="false" ht="15" hidden="false" customHeight="false" outlineLevel="0" collapsed="false">
      <c r="A127" s="21" t="s">
        <v>658</v>
      </c>
      <c r="B127" s="22" t="s">
        <v>94</v>
      </c>
      <c r="C127" s="21" t="s">
        <v>52</v>
      </c>
      <c r="D127" s="21" t="s">
        <v>64</v>
      </c>
      <c r="E127" s="21" t="s">
        <v>659</v>
      </c>
      <c r="F127" s="23" t="s">
        <v>660</v>
      </c>
      <c r="G127" s="21" t="s">
        <v>168</v>
      </c>
      <c r="H127" s="21" t="s">
        <v>120</v>
      </c>
      <c r="I127" s="21"/>
      <c r="J127" s="10" t="s">
        <v>78</v>
      </c>
      <c r="K127" s="21" t="s">
        <v>557</v>
      </c>
      <c r="L127" s="21" t="s">
        <v>85</v>
      </c>
      <c r="M127" s="11"/>
      <c r="N127" s="11" t="s">
        <v>31</v>
      </c>
      <c r="O127" s="21"/>
    </row>
    <row r="128" customFormat="false" ht="15" hidden="false" customHeight="false" outlineLevel="0" collapsed="false">
      <c r="A128" s="21" t="s">
        <v>661</v>
      </c>
      <c r="B128" s="22" t="s">
        <v>94</v>
      </c>
      <c r="C128" s="21" t="s">
        <v>52</v>
      </c>
      <c r="D128" s="21" t="s">
        <v>64</v>
      </c>
      <c r="E128" s="21" t="s">
        <v>662</v>
      </c>
      <c r="F128" s="23" t="s">
        <v>663</v>
      </c>
      <c r="G128" s="21" t="s">
        <v>168</v>
      </c>
      <c r="H128" s="21" t="s">
        <v>120</v>
      </c>
      <c r="I128" s="21"/>
      <c r="J128" s="10" t="s">
        <v>78</v>
      </c>
      <c r="K128" s="21" t="s">
        <v>557</v>
      </c>
      <c r="L128" s="21" t="s">
        <v>85</v>
      </c>
      <c r="M128" s="11"/>
      <c r="N128" s="11" t="s">
        <v>31</v>
      </c>
      <c r="O128" s="21"/>
    </row>
    <row r="129" customFormat="false" ht="15" hidden="false" customHeight="false" outlineLevel="0" collapsed="false">
      <c r="A129" s="21" t="s">
        <v>664</v>
      </c>
      <c r="B129" s="22" t="s">
        <v>94</v>
      </c>
      <c r="C129" s="21" t="s">
        <v>52</v>
      </c>
      <c r="D129" s="21" t="s">
        <v>64</v>
      </c>
      <c r="E129" s="21" t="s">
        <v>665</v>
      </c>
      <c r="F129" s="23" t="s">
        <v>666</v>
      </c>
      <c r="G129" s="21" t="s">
        <v>168</v>
      </c>
      <c r="H129" s="21" t="s">
        <v>120</v>
      </c>
      <c r="I129" s="21" t="s">
        <v>667</v>
      </c>
      <c r="J129" s="10" t="s">
        <v>78</v>
      </c>
      <c r="K129" s="21" t="s">
        <v>557</v>
      </c>
      <c r="L129" s="21" t="s">
        <v>85</v>
      </c>
      <c r="M129" s="11"/>
      <c r="N129" s="11" t="s">
        <v>31</v>
      </c>
      <c r="O129" s="21"/>
    </row>
    <row r="130" customFormat="false" ht="15" hidden="false" customHeight="false" outlineLevel="0" collapsed="false">
      <c r="A130" s="21" t="s">
        <v>668</v>
      </c>
      <c r="B130" s="22" t="s">
        <v>94</v>
      </c>
      <c r="C130" s="21" t="s">
        <v>52</v>
      </c>
      <c r="D130" s="21" t="s">
        <v>64</v>
      </c>
      <c r="E130" s="21" t="s">
        <v>669</v>
      </c>
      <c r="F130" s="23" t="s">
        <v>670</v>
      </c>
      <c r="G130" s="21" t="s">
        <v>168</v>
      </c>
      <c r="H130" s="21" t="s">
        <v>120</v>
      </c>
      <c r="I130" s="21" t="s">
        <v>671</v>
      </c>
      <c r="J130" s="13" t="s">
        <v>94</v>
      </c>
      <c r="K130" s="21" t="s">
        <v>557</v>
      </c>
      <c r="L130" s="21" t="s">
        <v>85</v>
      </c>
      <c r="M130" s="11"/>
      <c r="N130" s="11" t="s">
        <v>31</v>
      </c>
      <c r="O130" s="21"/>
    </row>
    <row r="131" customFormat="false" ht="15" hidden="false" customHeight="false" outlineLevel="0" collapsed="false">
      <c r="A131" s="21" t="s">
        <v>672</v>
      </c>
      <c r="B131" s="22" t="s">
        <v>94</v>
      </c>
      <c r="C131" s="21" t="s">
        <v>52</v>
      </c>
      <c r="D131" s="21" t="s">
        <v>64</v>
      </c>
      <c r="E131" s="21" t="s">
        <v>673</v>
      </c>
      <c r="F131" s="23" t="s">
        <v>674</v>
      </c>
      <c r="G131" s="21" t="s">
        <v>168</v>
      </c>
      <c r="H131" s="21" t="s">
        <v>351</v>
      </c>
      <c r="I131" s="21" t="s">
        <v>675</v>
      </c>
      <c r="J131" s="10" t="s">
        <v>78</v>
      </c>
      <c r="K131" s="21" t="s">
        <v>557</v>
      </c>
      <c r="L131" s="21" t="s">
        <v>85</v>
      </c>
      <c r="M131" s="11"/>
      <c r="N131" s="11" t="s">
        <v>31</v>
      </c>
      <c r="O131" s="21"/>
    </row>
    <row r="132" customFormat="false" ht="15" hidden="false" customHeight="false" outlineLevel="0" collapsed="false">
      <c r="A132" s="21" t="s">
        <v>676</v>
      </c>
      <c r="B132" s="22" t="s">
        <v>94</v>
      </c>
      <c r="C132" s="21" t="s">
        <v>54</v>
      </c>
      <c r="D132" s="21" t="s">
        <v>65</v>
      </c>
      <c r="E132" s="21" t="s">
        <v>677</v>
      </c>
      <c r="F132" s="23" t="s">
        <v>678</v>
      </c>
      <c r="G132" s="21" t="s">
        <v>679</v>
      </c>
      <c r="H132" s="21" t="s">
        <v>243</v>
      </c>
      <c r="I132" s="21" t="s">
        <v>680</v>
      </c>
      <c r="J132" s="14" t="s">
        <v>102</v>
      </c>
      <c r="K132" s="21" t="s">
        <v>557</v>
      </c>
      <c r="L132" s="21" t="s">
        <v>85</v>
      </c>
      <c r="M132" s="11"/>
      <c r="N132" s="12" t="s">
        <v>30</v>
      </c>
      <c r="O132" s="21"/>
    </row>
    <row r="133" customFormat="false" ht="15" hidden="false" customHeight="false" outlineLevel="0" collapsed="false">
      <c r="A133" s="21" t="s">
        <v>681</v>
      </c>
      <c r="B133" s="22" t="s">
        <v>94</v>
      </c>
      <c r="C133" s="21" t="s">
        <v>54</v>
      </c>
      <c r="D133" s="21" t="s">
        <v>65</v>
      </c>
      <c r="E133" s="21" t="s">
        <v>682</v>
      </c>
      <c r="F133" s="23" t="s">
        <v>683</v>
      </c>
      <c r="G133" s="21" t="s">
        <v>684</v>
      </c>
      <c r="H133" s="21" t="s">
        <v>100</v>
      </c>
      <c r="I133" s="21"/>
      <c r="J133" s="14" t="s">
        <v>102</v>
      </c>
      <c r="K133" s="21" t="s">
        <v>557</v>
      </c>
      <c r="L133" s="21" t="s">
        <v>85</v>
      </c>
      <c r="M133" s="11"/>
      <c r="N133" s="12" t="s">
        <v>30</v>
      </c>
      <c r="O133" s="21"/>
    </row>
    <row r="134" customFormat="false" ht="15" hidden="false" customHeight="false" outlineLevel="0" collapsed="false">
      <c r="A134" s="21" t="s">
        <v>685</v>
      </c>
      <c r="B134" s="22" t="s">
        <v>94</v>
      </c>
      <c r="C134" s="21" t="s">
        <v>54</v>
      </c>
      <c r="D134" s="21" t="s">
        <v>65</v>
      </c>
      <c r="E134" s="21" t="s">
        <v>686</v>
      </c>
      <c r="F134" s="23" t="s">
        <v>687</v>
      </c>
      <c r="G134" s="21" t="s">
        <v>168</v>
      </c>
      <c r="H134" s="21" t="s">
        <v>92</v>
      </c>
      <c r="I134" s="21" t="s">
        <v>688</v>
      </c>
      <c r="J134" s="13" t="s">
        <v>94</v>
      </c>
      <c r="K134" s="21" t="s">
        <v>557</v>
      </c>
      <c r="L134" s="21" t="s">
        <v>85</v>
      </c>
      <c r="M134" s="11" t="s">
        <v>689</v>
      </c>
      <c r="N134" s="12" t="s">
        <v>30</v>
      </c>
      <c r="O134" s="21"/>
    </row>
    <row r="135" customFormat="false" ht="15" hidden="false" customHeight="false" outlineLevel="0" collapsed="false">
      <c r="A135" s="21" t="s">
        <v>690</v>
      </c>
      <c r="B135" s="22" t="s">
        <v>94</v>
      </c>
      <c r="C135" s="21" t="s">
        <v>54</v>
      </c>
      <c r="D135" s="21" t="s">
        <v>65</v>
      </c>
      <c r="E135" s="21" t="s">
        <v>691</v>
      </c>
      <c r="F135" s="23" t="s">
        <v>692</v>
      </c>
      <c r="G135" s="21" t="s">
        <v>168</v>
      </c>
      <c r="H135" s="21" t="s">
        <v>243</v>
      </c>
      <c r="I135" s="21"/>
      <c r="J135" s="14" t="s">
        <v>102</v>
      </c>
      <c r="K135" s="21" t="s">
        <v>557</v>
      </c>
      <c r="L135" s="21" t="s">
        <v>85</v>
      </c>
      <c r="M135" s="11"/>
      <c r="N135" s="11" t="s">
        <v>31</v>
      </c>
      <c r="O135" s="21"/>
    </row>
    <row r="136" customFormat="false" ht="15" hidden="false" customHeight="false" outlineLevel="0" collapsed="false">
      <c r="A136" s="21" t="s">
        <v>693</v>
      </c>
      <c r="B136" s="22" t="s">
        <v>94</v>
      </c>
      <c r="C136" s="21" t="s">
        <v>54</v>
      </c>
      <c r="D136" s="21" t="s">
        <v>65</v>
      </c>
      <c r="E136" s="21" t="s">
        <v>694</v>
      </c>
      <c r="F136" s="23" t="s">
        <v>695</v>
      </c>
      <c r="G136" s="21" t="s">
        <v>679</v>
      </c>
      <c r="H136" s="21" t="s">
        <v>239</v>
      </c>
      <c r="I136" s="21" t="s">
        <v>631</v>
      </c>
      <c r="J136" s="10" t="s">
        <v>78</v>
      </c>
      <c r="K136" s="21" t="s">
        <v>557</v>
      </c>
      <c r="L136" s="21" t="s">
        <v>85</v>
      </c>
      <c r="M136" s="11"/>
      <c r="N136" s="11" t="s">
        <v>31</v>
      </c>
      <c r="O136" s="21"/>
    </row>
    <row r="137" customFormat="false" ht="15" hidden="false" customHeight="false" outlineLevel="0" collapsed="false">
      <c r="A137" s="21" t="s">
        <v>696</v>
      </c>
      <c r="B137" s="22" t="s">
        <v>94</v>
      </c>
      <c r="C137" s="21" t="s">
        <v>54</v>
      </c>
      <c r="D137" s="21" t="s">
        <v>65</v>
      </c>
      <c r="E137" s="21" t="s">
        <v>697</v>
      </c>
      <c r="F137" s="23" t="s">
        <v>698</v>
      </c>
      <c r="G137" s="21" t="s">
        <v>168</v>
      </c>
      <c r="H137" s="21" t="s">
        <v>351</v>
      </c>
      <c r="I137" s="21" t="s">
        <v>699</v>
      </c>
      <c r="J137" s="10" t="s">
        <v>78</v>
      </c>
      <c r="K137" s="21" t="s">
        <v>557</v>
      </c>
      <c r="L137" s="21" t="s">
        <v>85</v>
      </c>
      <c r="M137" s="11"/>
      <c r="N137" s="11" t="s">
        <v>31</v>
      </c>
      <c r="O137" s="21"/>
    </row>
    <row r="138" customFormat="false" ht="15" hidden="false" customHeight="false" outlineLevel="0" collapsed="false">
      <c r="A138" s="21" t="s">
        <v>700</v>
      </c>
      <c r="B138" s="22" t="s">
        <v>94</v>
      </c>
      <c r="C138" s="21" t="s">
        <v>54</v>
      </c>
      <c r="D138" s="21" t="s">
        <v>65</v>
      </c>
      <c r="E138" s="21" t="s">
        <v>701</v>
      </c>
      <c r="F138" s="23" t="s">
        <v>702</v>
      </c>
      <c r="G138" s="21" t="s">
        <v>168</v>
      </c>
      <c r="H138" s="21" t="s">
        <v>120</v>
      </c>
      <c r="I138" s="21" t="s">
        <v>703</v>
      </c>
      <c r="J138" s="10" t="s">
        <v>78</v>
      </c>
      <c r="K138" s="21" t="s">
        <v>557</v>
      </c>
      <c r="L138" s="21" t="s">
        <v>85</v>
      </c>
      <c r="M138" s="11"/>
      <c r="N138" s="11" t="s">
        <v>31</v>
      </c>
      <c r="O138" s="21"/>
    </row>
    <row r="139" customFormat="false" ht="23.85" hidden="false" customHeight="false" outlineLevel="0" collapsed="false">
      <c r="A139" s="21" t="s">
        <v>704</v>
      </c>
      <c r="B139" s="22" t="s">
        <v>94</v>
      </c>
      <c r="C139" s="21" t="s">
        <v>54</v>
      </c>
      <c r="D139" s="21" t="s">
        <v>66</v>
      </c>
      <c r="E139" s="21" t="s">
        <v>705</v>
      </c>
      <c r="F139" s="23" t="s">
        <v>706</v>
      </c>
      <c r="G139" s="21" t="s">
        <v>168</v>
      </c>
      <c r="H139" s="21" t="s">
        <v>92</v>
      </c>
      <c r="I139" s="21"/>
      <c r="J139" s="10" t="s">
        <v>78</v>
      </c>
      <c r="K139" s="21" t="s">
        <v>557</v>
      </c>
      <c r="L139" s="21" t="s">
        <v>85</v>
      </c>
      <c r="M139" s="11" t="s">
        <v>707</v>
      </c>
      <c r="N139" s="12" t="s">
        <v>30</v>
      </c>
      <c r="O139" s="21"/>
    </row>
    <row r="140" customFormat="false" ht="15" hidden="false" customHeight="false" outlineLevel="0" collapsed="false">
      <c r="A140" s="21" t="s">
        <v>708</v>
      </c>
      <c r="B140" s="22" t="s">
        <v>94</v>
      </c>
      <c r="C140" s="21" t="s">
        <v>54</v>
      </c>
      <c r="D140" s="21" t="s">
        <v>66</v>
      </c>
      <c r="E140" s="21" t="s">
        <v>709</v>
      </c>
      <c r="F140" s="23" t="s">
        <v>710</v>
      </c>
      <c r="G140" s="21" t="s">
        <v>168</v>
      </c>
      <c r="H140" s="21" t="s">
        <v>92</v>
      </c>
      <c r="I140" s="21"/>
      <c r="J140" s="10" t="s">
        <v>78</v>
      </c>
      <c r="K140" s="21" t="s">
        <v>557</v>
      </c>
      <c r="L140" s="21" t="s">
        <v>85</v>
      </c>
      <c r="M140" s="11"/>
      <c r="N140" s="11" t="s">
        <v>31</v>
      </c>
      <c r="O140" s="21"/>
    </row>
    <row r="141" customFormat="false" ht="15" hidden="false" customHeight="false" outlineLevel="0" collapsed="false">
      <c r="A141" s="21" t="s">
        <v>711</v>
      </c>
      <c r="B141" s="22" t="s">
        <v>94</v>
      </c>
      <c r="C141" s="21" t="s">
        <v>54</v>
      </c>
      <c r="D141" s="21" t="s">
        <v>66</v>
      </c>
      <c r="E141" s="21" t="s">
        <v>712</v>
      </c>
      <c r="F141" s="23" t="s">
        <v>713</v>
      </c>
      <c r="G141" s="21" t="s">
        <v>168</v>
      </c>
      <c r="H141" s="21" t="s">
        <v>82</v>
      </c>
      <c r="I141" s="21" t="s">
        <v>510</v>
      </c>
      <c r="J141" s="10" t="s">
        <v>78</v>
      </c>
      <c r="K141" s="21" t="s">
        <v>557</v>
      </c>
      <c r="L141" s="21" t="s">
        <v>85</v>
      </c>
      <c r="M141" s="11"/>
      <c r="N141" s="12" t="s">
        <v>30</v>
      </c>
      <c r="O141" s="21"/>
    </row>
    <row r="142" customFormat="false" ht="15" hidden="false" customHeight="false" outlineLevel="0" collapsed="false">
      <c r="A142" s="21" t="s">
        <v>714</v>
      </c>
      <c r="B142" s="22" t="s">
        <v>94</v>
      </c>
      <c r="C142" s="21" t="s">
        <v>54</v>
      </c>
      <c r="D142" s="21" t="s">
        <v>66</v>
      </c>
      <c r="E142" s="21" t="s">
        <v>715</v>
      </c>
      <c r="F142" s="23" t="s">
        <v>716</v>
      </c>
      <c r="G142" s="21" t="s">
        <v>168</v>
      </c>
      <c r="H142" s="21" t="s">
        <v>92</v>
      </c>
      <c r="I142" s="21"/>
      <c r="J142" s="13" t="s">
        <v>94</v>
      </c>
      <c r="K142" s="21" t="s">
        <v>557</v>
      </c>
      <c r="L142" s="21" t="s">
        <v>85</v>
      </c>
      <c r="M142" s="11"/>
      <c r="N142" s="11" t="s">
        <v>31</v>
      </c>
      <c r="O142" s="21"/>
    </row>
    <row r="143" customFormat="false" ht="15" hidden="false" customHeight="false" outlineLevel="0" collapsed="false">
      <c r="A143" s="21" t="s">
        <v>717</v>
      </c>
      <c r="B143" s="22" t="s">
        <v>94</v>
      </c>
      <c r="C143" s="21" t="s">
        <v>54</v>
      </c>
      <c r="D143" s="21" t="s">
        <v>66</v>
      </c>
      <c r="E143" s="21" t="s">
        <v>718</v>
      </c>
      <c r="F143" s="23" t="s">
        <v>719</v>
      </c>
      <c r="G143" s="21" t="s">
        <v>168</v>
      </c>
      <c r="H143" s="21" t="s">
        <v>120</v>
      </c>
      <c r="I143" s="21" t="s">
        <v>720</v>
      </c>
      <c r="J143" s="10" t="s">
        <v>78</v>
      </c>
      <c r="K143" s="21" t="s">
        <v>557</v>
      </c>
      <c r="L143" s="21" t="s">
        <v>85</v>
      </c>
      <c r="M143" s="11"/>
      <c r="N143" s="12" t="s">
        <v>30</v>
      </c>
      <c r="O143" s="21"/>
    </row>
    <row r="144" customFormat="false" ht="15" hidden="false" customHeight="false" outlineLevel="0" collapsed="false">
      <c r="A144" s="21" t="s">
        <v>721</v>
      </c>
      <c r="B144" s="22" t="s">
        <v>94</v>
      </c>
      <c r="C144" s="21" t="s">
        <v>54</v>
      </c>
      <c r="D144" s="21" t="s">
        <v>66</v>
      </c>
      <c r="E144" s="21" t="s">
        <v>722</v>
      </c>
      <c r="F144" s="23" t="s">
        <v>723</v>
      </c>
      <c r="G144" s="21" t="s">
        <v>168</v>
      </c>
      <c r="H144" s="21" t="s">
        <v>92</v>
      </c>
      <c r="I144" s="21" t="s">
        <v>724</v>
      </c>
      <c r="J144" s="13" t="s">
        <v>94</v>
      </c>
      <c r="K144" s="21" t="s">
        <v>557</v>
      </c>
      <c r="L144" s="21" t="s">
        <v>85</v>
      </c>
      <c r="M144" s="11"/>
      <c r="N144" s="11" t="s">
        <v>31</v>
      </c>
      <c r="O144" s="21"/>
    </row>
    <row r="145" customFormat="false" ht="15" hidden="false" customHeight="false" outlineLevel="0" collapsed="false">
      <c r="A145" s="21" t="s">
        <v>725</v>
      </c>
      <c r="B145" s="22" t="s">
        <v>94</v>
      </c>
      <c r="C145" s="21" t="s">
        <v>54</v>
      </c>
      <c r="D145" s="21" t="s">
        <v>726</v>
      </c>
      <c r="E145" s="21" t="s">
        <v>727</v>
      </c>
      <c r="F145" s="23" t="s">
        <v>728</v>
      </c>
      <c r="G145" s="21" t="s">
        <v>168</v>
      </c>
      <c r="H145" s="21" t="s">
        <v>92</v>
      </c>
      <c r="I145" s="21"/>
      <c r="J145" s="10" t="s">
        <v>78</v>
      </c>
      <c r="K145" s="21" t="s">
        <v>557</v>
      </c>
      <c r="L145" s="21" t="s">
        <v>85</v>
      </c>
      <c r="M145" s="11" t="s">
        <v>729</v>
      </c>
      <c r="N145" s="11" t="s">
        <v>31</v>
      </c>
      <c r="O145" s="21" t="s">
        <v>730</v>
      </c>
    </row>
    <row r="146" customFormat="false" ht="15" hidden="false" customHeight="false" outlineLevel="0" collapsed="false">
      <c r="A146" s="21" t="s">
        <v>731</v>
      </c>
      <c r="B146" s="22" t="s">
        <v>94</v>
      </c>
      <c r="C146" s="21" t="s">
        <v>54</v>
      </c>
      <c r="D146" s="21" t="s">
        <v>732</v>
      </c>
      <c r="E146" s="21" t="s">
        <v>733</v>
      </c>
      <c r="F146" s="23" t="s">
        <v>734</v>
      </c>
      <c r="G146" s="21" t="s">
        <v>168</v>
      </c>
      <c r="H146" s="21" t="s">
        <v>239</v>
      </c>
      <c r="I146" s="21" t="s">
        <v>631</v>
      </c>
      <c r="J146" s="10" t="s">
        <v>78</v>
      </c>
      <c r="K146" s="21" t="s">
        <v>557</v>
      </c>
      <c r="L146" s="21" t="s">
        <v>85</v>
      </c>
      <c r="M146" s="11"/>
      <c r="N146" s="11" t="s">
        <v>31</v>
      </c>
      <c r="O146" s="21"/>
    </row>
    <row r="147" customFormat="false" ht="15" hidden="false" customHeight="false" outlineLevel="0" collapsed="false">
      <c r="A147" s="21" t="s">
        <v>735</v>
      </c>
      <c r="B147" s="22" t="s">
        <v>94</v>
      </c>
      <c r="C147" s="21" t="s">
        <v>56</v>
      </c>
      <c r="D147" s="21" t="s">
        <v>736</v>
      </c>
      <c r="E147" s="21" t="s">
        <v>737</v>
      </c>
      <c r="F147" s="23" t="s">
        <v>738</v>
      </c>
      <c r="G147" s="21" t="s">
        <v>183</v>
      </c>
      <c r="H147" s="21" t="s">
        <v>92</v>
      </c>
      <c r="I147" s="21" t="s">
        <v>739</v>
      </c>
      <c r="J147" s="10" t="s">
        <v>78</v>
      </c>
      <c r="K147" s="21" t="s">
        <v>557</v>
      </c>
      <c r="L147" s="21" t="s">
        <v>85</v>
      </c>
      <c r="M147" s="11"/>
      <c r="N147" s="12" t="s">
        <v>30</v>
      </c>
      <c r="O147" s="21"/>
    </row>
    <row r="148" customFormat="false" ht="15" hidden="false" customHeight="false" outlineLevel="0" collapsed="false">
      <c r="A148" s="21" t="s">
        <v>740</v>
      </c>
      <c r="B148" s="22" t="s">
        <v>94</v>
      </c>
      <c r="C148" s="21" t="s">
        <v>56</v>
      </c>
      <c r="D148" s="21" t="s">
        <v>736</v>
      </c>
      <c r="E148" s="21" t="s">
        <v>741</v>
      </c>
      <c r="F148" s="23" t="s">
        <v>742</v>
      </c>
      <c r="G148" s="21" t="s">
        <v>168</v>
      </c>
      <c r="H148" s="21" t="s">
        <v>82</v>
      </c>
      <c r="I148" s="21"/>
      <c r="J148" s="10" t="s">
        <v>78</v>
      </c>
      <c r="K148" s="21" t="s">
        <v>557</v>
      </c>
      <c r="L148" s="21" t="s">
        <v>85</v>
      </c>
      <c r="M148" s="11"/>
      <c r="N148" s="11" t="s">
        <v>31</v>
      </c>
      <c r="O148" s="21"/>
    </row>
    <row r="149" customFormat="false" ht="15" hidden="false" customHeight="false" outlineLevel="0" collapsed="false">
      <c r="A149" s="21" t="s">
        <v>743</v>
      </c>
      <c r="B149" s="22" t="s">
        <v>94</v>
      </c>
      <c r="C149" s="21" t="s">
        <v>56</v>
      </c>
      <c r="D149" s="21" t="s">
        <v>736</v>
      </c>
      <c r="E149" s="21" t="s">
        <v>744</v>
      </c>
      <c r="F149" s="23" t="s">
        <v>745</v>
      </c>
      <c r="G149" s="21" t="s">
        <v>746</v>
      </c>
      <c r="H149" s="21" t="s">
        <v>92</v>
      </c>
      <c r="I149" s="21" t="s">
        <v>747</v>
      </c>
      <c r="J149" s="13" t="s">
        <v>94</v>
      </c>
      <c r="K149" s="21" t="s">
        <v>557</v>
      </c>
      <c r="L149" s="21" t="s">
        <v>85</v>
      </c>
      <c r="M149" s="11"/>
      <c r="N149" s="12" t="s">
        <v>30</v>
      </c>
      <c r="O149" s="21"/>
    </row>
    <row r="150" customFormat="false" ht="15" hidden="false" customHeight="false" outlineLevel="0" collapsed="false">
      <c r="A150" s="21" t="s">
        <v>748</v>
      </c>
      <c r="B150" s="22" t="s">
        <v>94</v>
      </c>
      <c r="C150" s="21" t="s">
        <v>56</v>
      </c>
      <c r="D150" s="21" t="s">
        <v>736</v>
      </c>
      <c r="E150" s="21" t="s">
        <v>749</v>
      </c>
      <c r="F150" s="23" t="s">
        <v>750</v>
      </c>
      <c r="G150" s="21" t="s">
        <v>168</v>
      </c>
      <c r="H150" s="21" t="s">
        <v>120</v>
      </c>
      <c r="I150" s="21" t="s">
        <v>751</v>
      </c>
      <c r="J150" s="10" t="s">
        <v>78</v>
      </c>
      <c r="K150" s="21" t="s">
        <v>557</v>
      </c>
      <c r="L150" s="21" t="s">
        <v>85</v>
      </c>
      <c r="M150" s="11"/>
      <c r="N150" s="11" t="s">
        <v>31</v>
      </c>
      <c r="O150" s="21"/>
    </row>
    <row r="151" customFormat="false" ht="15" hidden="false" customHeight="false" outlineLevel="0" collapsed="false">
      <c r="A151" s="21" t="s">
        <v>752</v>
      </c>
      <c r="B151" s="22" t="s">
        <v>94</v>
      </c>
      <c r="C151" s="21" t="s">
        <v>56</v>
      </c>
      <c r="D151" s="21" t="s">
        <v>736</v>
      </c>
      <c r="E151" s="21" t="s">
        <v>753</v>
      </c>
      <c r="F151" s="23" t="s">
        <v>754</v>
      </c>
      <c r="G151" s="21" t="s">
        <v>168</v>
      </c>
      <c r="H151" s="21" t="s">
        <v>92</v>
      </c>
      <c r="I151" s="21" t="s">
        <v>755</v>
      </c>
      <c r="J151" s="10" t="s">
        <v>78</v>
      </c>
      <c r="K151" s="21" t="s">
        <v>557</v>
      </c>
      <c r="L151" s="21" t="s">
        <v>85</v>
      </c>
      <c r="M151" s="11"/>
      <c r="N151" s="11" t="s">
        <v>31</v>
      </c>
      <c r="O151" s="21"/>
    </row>
    <row r="152" customFormat="false" ht="15" hidden="false" customHeight="false" outlineLevel="0" collapsed="false">
      <c r="A152" s="21" t="s">
        <v>756</v>
      </c>
      <c r="B152" s="22" t="s">
        <v>94</v>
      </c>
      <c r="C152" s="21" t="s">
        <v>56</v>
      </c>
      <c r="D152" s="21" t="s">
        <v>757</v>
      </c>
      <c r="E152" s="21" t="s">
        <v>758</v>
      </c>
      <c r="F152" s="23" t="s">
        <v>759</v>
      </c>
      <c r="G152" s="21" t="s">
        <v>760</v>
      </c>
      <c r="H152" s="21" t="s">
        <v>92</v>
      </c>
      <c r="I152" s="21"/>
      <c r="J152" s="13" t="s">
        <v>94</v>
      </c>
      <c r="K152" s="21" t="s">
        <v>557</v>
      </c>
      <c r="L152" s="21" t="s">
        <v>85</v>
      </c>
      <c r="M152" s="11"/>
      <c r="N152" s="12" t="s">
        <v>30</v>
      </c>
      <c r="O152" s="21" t="s">
        <v>761</v>
      </c>
    </row>
    <row r="153" customFormat="false" ht="15" hidden="false" customHeight="false" outlineLevel="0" collapsed="false">
      <c r="A153" s="21" t="s">
        <v>762</v>
      </c>
      <c r="B153" s="22" t="s">
        <v>94</v>
      </c>
      <c r="C153" s="21" t="s">
        <v>56</v>
      </c>
      <c r="D153" s="21" t="s">
        <v>757</v>
      </c>
      <c r="E153" s="21" t="s">
        <v>763</v>
      </c>
      <c r="F153" s="23" t="s">
        <v>764</v>
      </c>
      <c r="G153" s="21" t="s">
        <v>760</v>
      </c>
      <c r="H153" s="21" t="s">
        <v>92</v>
      </c>
      <c r="I153" s="21" t="s">
        <v>765</v>
      </c>
      <c r="J153" s="13" t="s">
        <v>94</v>
      </c>
      <c r="K153" s="21" t="s">
        <v>557</v>
      </c>
      <c r="L153" s="21" t="s">
        <v>85</v>
      </c>
      <c r="M153" s="11"/>
      <c r="N153" s="11" t="s">
        <v>31</v>
      </c>
      <c r="O153" s="21"/>
    </row>
    <row r="154" customFormat="false" ht="15" hidden="false" customHeight="false" outlineLevel="0" collapsed="false">
      <c r="A154" s="21" t="s">
        <v>766</v>
      </c>
      <c r="B154" s="22" t="s">
        <v>94</v>
      </c>
      <c r="C154" s="21" t="s">
        <v>56</v>
      </c>
      <c r="D154" s="21" t="s">
        <v>767</v>
      </c>
      <c r="E154" s="21" t="s">
        <v>768</v>
      </c>
      <c r="F154" s="23" t="s">
        <v>769</v>
      </c>
      <c r="G154" s="21" t="s">
        <v>770</v>
      </c>
      <c r="H154" s="21" t="s">
        <v>82</v>
      </c>
      <c r="I154" s="21"/>
      <c r="J154" s="10" t="s">
        <v>78</v>
      </c>
      <c r="K154" s="21" t="s">
        <v>557</v>
      </c>
      <c r="L154" s="21" t="s">
        <v>85</v>
      </c>
      <c r="M154" s="11"/>
      <c r="N154" s="12" t="s">
        <v>30</v>
      </c>
      <c r="O154" s="21"/>
    </row>
    <row r="155" customFormat="false" ht="15" hidden="false" customHeight="false" outlineLevel="0" collapsed="false">
      <c r="A155" s="21" t="s">
        <v>771</v>
      </c>
      <c r="B155" s="22" t="s">
        <v>94</v>
      </c>
      <c r="C155" s="21" t="s">
        <v>56</v>
      </c>
      <c r="D155" s="21" t="s">
        <v>772</v>
      </c>
      <c r="E155" s="21" t="s">
        <v>773</v>
      </c>
      <c r="F155" s="23" t="s">
        <v>774</v>
      </c>
      <c r="G155" s="21" t="s">
        <v>107</v>
      </c>
      <c r="H155" s="21" t="s">
        <v>82</v>
      </c>
      <c r="I155" s="21"/>
      <c r="J155" s="10" t="s">
        <v>78</v>
      </c>
      <c r="K155" s="21" t="s">
        <v>557</v>
      </c>
      <c r="L155" s="21" t="s">
        <v>85</v>
      </c>
      <c r="M155" s="11"/>
      <c r="N155" s="11" t="s">
        <v>31</v>
      </c>
      <c r="O155" s="21"/>
    </row>
    <row r="156" customFormat="false" ht="15" hidden="false" customHeight="false" outlineLevel="0" collapsed="false">
      <c r="A156" s="21" t="s">
        <v>775</v>
      </c>
      <c r="B156" s="22" t="s">
        <v>94</v>
      </c>
      <c r="C156" s="21" t="s">
        <v>56</v>
      </c>
      <c r="D156" s="21" t="s">
        <v>776</v>
      </c>
      <c r="E156" s="21" t="s">
        <v>777</v>
      </c>
      <c r="F156" s="23" t="s">
        <v>778</v>
      </c>
      <c r="G156" s="21" t="s">
        <v>168</v>
      </c>
      <c r="H156" s="21" t="s">
        <v>82</v>
      </c>
      <c r="I156" s="21"/>
      <c r="J156" s="10" t="s">
        <v>78</v>
      </c>
      <c r="K156" s="21" t="s">
        <v>557</v>
      </c>
      <c r="L156" s="21" t="s">
        <v>85</v>
      </c>
      <c r="M156" s="11"/>
      <c r="N156" s="11" t="s">
        <v>31</v>
      </c>
      <c r="O156" s="21"/>
    </row>
    <row r="157" customFormat="false" ht="15" hidden="false" customHeight="false" outlineLevel="0" collapsed="false">
      <c r="A157" s="21" t="s">
        <v>779</v>
      </c>
      <c r="B157" s="22" t="s">
        <v>94</v>
      </c>
      <c r="C157" s="21" t="s">
        <v>56</v>
      </c>
      <c r="D157" s="21" t="s">
        <v>780</v>
      </c>
      <c r="E157" s="21" t="s">
        <v>781</v>
      </c>
      <c r="F157" s="23" t="s">
        <v>782</v>
      </c>
      <c r="G157" s="21" t="s">
        <v>746</v>
      </c>
      <c r="H157" s="21" t="s">
        <v>82</v>
      </c>
      <c r="I157" s="21"/>
      <c r="J157" s="10" t="s">
        <v>78</v>
      </c>
      <c r="K157" s="21" t="s">
        <v>557</v>
      </c>
      <c r="L157" s="21" t="s">
        <v>85</v>
      </c>
      <c r="M157" s="11"/>
      <c r="N157" s="11" t="s">
        <v>31</v>
      </c>
      <c r="O157" s="21"/>
    </row>
    <row r="158" customFormat="false" ht="15" hidden="false" customHeight="false" outlineLevel="0" collapsed="false">
      <c r="A158" s="21" t="s">
        <v>783</v>
      </c>
      <c r="B158" s="22" t="s">
        <v>94</v>
      </c>
      <c r="C158" s="21" t="s">
        <v>56</v>
      </c>
      <c r="D158" s="21" t="s">
        <v>784</v>
      </c>
      <c r="E158" s="21" t="s">
        <v>785</v>
      </c>
      <c r="F158" s="23" t="s">
        <v>786</v>
      </c>
      <c r="G158" s="21" t="s">
        <v>746</v>
      </c>
      <c r="H158" s="21" t="s">
        <v>92</v>
      </c>
      <c r="I158" s="21"/>
      <c r="J158" s="13" t="s">
        <v>94</v>
      </c>
      <c r="K158" s="21" t="s">
        <v>557</v>
      </c>
      <c r="L158" s="21" t="s">
        <v>85</v>
      </c>
      <c r="M158" s="11"/>
      <c r="N158" s="11" t="s">
        <v>31</v>
      </c>
      <c r="O158" s="21"/>
    </row>
    <row r="159" customFormat="false" ht="23.85" hidden="false" customHeight="false" outlineLevel="0" collapsed="false">
      <c r="A159" s="18" t="s">
        <v>787</v>
      </c>
      <c r="B159" s="19" t="s">
        <v>273</v>
      </c>
      <c r="C159" s="18" t="s">
        <v>58</v>
      </c>
      <c r="D159" s="18" t="s">
        <v>58</v>
      </c>
      <c r="E159" s="18" t="s">
        <v>788</v>
      </c>
      <c r="F159" s="20" t="s">
        <v>789</v>
      </c>
      <c r="G159" s="18" t="s">
        <v>790</v>
      </c>
      <c r="H159" s="18" t="s">
        <v>100</v>
      </c>
      <c r="I159" s="18" t="s">
        <v>791</v>
      </c>
      <c r="J159" s="14" t="s">
        <v>102</v>
      </c>
      <c r="K159" s="18" t="s">
        <v>279</v>
      </c>
      <c r="L159" s="18" t="s">
        <v>85</v>
      </c>
      <c r="M159" s="11" t="s">
        <v>792</v>
      </c>
      <c r="N159" s="12" t="s">
        <v>30</v>
      </c>
      <c r="O159" s="18"/>
    </row>
    <row r="160" customFormat="false" ht="15" hidden="false" customHeight="false" outlineLevel="0" collapsed="false">
      <c r="A160" s="18" t="s">
        <v>793</v>
      </c>
      <c r="B160" s="19" t="s">
        <v>273</v>
      </c>
      <c r="C160" s="18" t="s">
        <v>58</v>
      </c>
      <c r="D160" s="18" t="s">
        <v>58</v>
      </c>
      <c r="E160" s="18" t="s">
        <v>794</v>
      </c>
      <c r="F160" s="20" t="s">
        <v>795</v>
      </c>
      <c r="G160" s="18" t="s">
        <v>796</v>
      </c>
      <c r="H160" s="18" t="s">
        <v>574</v>
      </c>
      <c r="I160" s="18" t="s">
        <v>797</v>
      </c>
      <c r="J160" s="14" t="s">
        <v>102</v>
      </c>
      <c r="K160" s="18" t="s">
        <v>279</v>
      </c>
      <c r="L160" s="18" t="s">
        <v>95</v>
      </c>
      <c r="M160" s="11"/>
      <c r="N160" s="12" t="s">
        <v>30</v>
      </c>
      <c r="O160" s="18"/>
    </row>
    <row r="161" customFormat="false" ht="15" hidden="false" customHeight="false" outlineLevel="0" collapsed="false">
      <c r="A161" s="18" t="s">
        <v>798</v>
      </c>
      <c r="B161" s="19" t="s">
        <v>273</v>
      </c>
      <c r="C161" s="18" t="s">
        <v>58</v>
      </c>
      <c r="D161" s="18" t="s">
        <v>58</v>
      </c>
      <c r="E161" s="18" t="s">
        <v>799</v>
      </c>
      <c r="F161" s="20" t="s">
        <v>800</v>
      </c>
      <c r="G161" s="18" t="s">
        <v>277</v>
      </c>
      <c r="H161" s="18" t="s">
        <v>574</v>
      </c>
      <c r="I161" s="18" t="s">
        <v>801</v>
      </c>
      <c r="J161" s="14" t="s">
        <v>102</v>
      </c>
      <c r="K161" s="18" t="s">
        <v>279</v>
      </c>
      <c r="L161" s="18" t="s">
        <v>95</v>
      </c>
      <c r="M161" s="11"/>
      <c r="N161" s="12" t="s">
        <v>30</v>
      </c>
      <c r="O161" s="18"/>
    </row>
    <row r="162" customFormat="false" ht="15" hidden="false" customHeight="false" outlineLevel="0" collapsed="false">
      <c r="A162" s="18" t="s">
        <v>802</v>
      </c>
      <c r="B162" s="19" t="s">
        <v>273</v>
      </c>
      <c r="C162" s="18" t="s">
        <v>58</v>
      </c>
      <c r="D162" s="18" t="s">
        <v>58</v>
      </c>
      <c r="E162" s="18" t="s">
        <v>803</v>
      </c>
      <c r="F162" s="20" t="s">
        <v>804</v>
      </c>
      <c r="G162" s="18" t="s">
        <v>567</v>
      </c>
      <c r="H162" s="18" t="s">
        <v>243</v>
      </c>
      <c r="I162" s="18"/>
      <c r="J162" s="14" t="s">
        <v>102</v>
      </c>
      <c r="K162" s="18" t="s">
        <v>279</v>
      </c>
      <c r="L162" s="18" t="s">
        <v>85</v>
      </c>
      <c r="M162" s="11"/>
      <c r="N162" s="11" t="s">
        <v>31</v>
      </c>
      <c r="O162" s="18"/>
    </row>
    <row r="163" customFormat="false" ht="15" hidden="false" customHeight="false" outlineLevel="0" collapsed="false">
      <c r="A163" s="18" t="s">
        <v>805</v>
      </c>
      <c r="B163" s="19" t="s">
        <v>273</v>
      </c>
      <c r="C163" s="18" t="s">
        <v>58</v>
      </c>
      <c r="D163" s="18" t="s">
        <v>58</v>
      </c>
      <c r="E163" s="18" t="s">
        <v>806</v>
      </c>
      <c r="F163" s="20" t="s">
        <v>807</v>
      </c>
      <c r="G163" s="18" t="s">
        <v>808</v>
      </c>
      <c r="H163" s="18" t="s">
        <v>120</v>
      </c>
      <c r="I163" s="18" t="s">
        <v>809</v>
      </c>
      <c r="J163" s="10" t="s">
        <v>78</v>
      </c>
      <c r="K163" s="18" t="s">
        <v>279</v>
      </c>
      <c r="L163" s="18" t="s">
        <v>85</v>
      </c>
      <c r="M163" s="11"/>
      <c r="N163" s="12" t="s">
        <v>30</v>
      </c>
      <c r="O163" s="18"/>
    </row>
    <row r="164" customFormat="false" ht="15" hidden="false" customHeight="false" outlineLevel="0" collapsed="false">
      <c r="A164" s="18" t="s">
        <v>810</v>
      </c>
      <c r="B164" s="19" t="s">
        <v>273</v>
      </c>
      <c r="C164" s="18" t="s">
        <v>58</v>
      </c>
      <c r="D164" s="18" t="s">
        <v>58</v>
      </c>
      <c r="E164" s="18" t="s">
        <v>811</v>
      </c>
      <c r="F164" s="20" t="s">
        <v>812</v>
      </c>
      <c r="G164" s="18" t="s">
        <v>808</v>
      </c>
      <c r="H164" s="18" t="s">
        <v>120</v>
      </c>
      <c r="I164" s="18" t="s">
        <v>413</v>
      </c>
      <c r="J164" s="13" t="s">
        <v>94</v>
      </c>
      <c r="K164" s="18" t="s">
        <v>279</v>
      </c>
      <c r="L164" s="18" t="s">
        <v>85</v>
      </c>
      <c r="M164" s="11"/>
      <c r="N164" s="11" t="s">
        <v>31</v>
      </c>
      <c r="O164" s="18"/>
    </row>
    <row r="165" customFormat="false" ht="15" hidden="false" customHeight="false" outlineLevel="0" collapsed="false">
      <c r="A165" s="18" t="s">
        <v>813</v>
      </c>
      <c r="B165" s="19" t="s">
        <v>273</v>
      </c>
      <c r="C165" s="18" t="s">
        <v>58</v>
      </c>
      <c r="D165" s="18" t="s">
        <v>58</v>
      </c>
      <c r="E165" s="18" t="s">
        <v>814</v>
      </c>
      <c r="F165" s="20" t="s">
        <v>815</v>
      </c>
      <c r="G165" s="18" t="s">
        <v>796</v>
      </c>
      <c r="H165" s="18" t="s">
        <v>120</v>
      </c>
      <c r="I165" s="18" t="s">
        <v>816</v>
      </c>
      <c r="J165" s="10" t="s">
        <v>78</v>
      </c>
      <c r="K165" s="18" t="s">
        <v>279</v>
      </c>
      <c r="L165" s="18" t="s">
        <v>85</v>
      </c>
      <c r="M165" s="11"/>
      <c r="N165" s="12" t="s">
        <v>30</v>
      </c>
      <c r="O165" s="18"/>
    </row>
    <row r="166" customFormat="false" ht="15" hidden="false" customHeight="false" outlineLevel="0" collapsed="false">
      <c r="A166" s="18" t="s">
        <v>817</v>
      </c>
      <c r="B166" s="19" t="s">
        <v>273</v>
      </c>
      <c r="C166" s="18" t="s">
        <v>58</v>
      </c>
      <c r="D166" s="18" t="s">
        <v>58</v>
      </c>
      <c r="E166" s="18" t="s">
        <v>818</v>
      </c>
      <c r="F166" s="20" t="s">
        <v>819</v>
      </c>
      <c r="G166" s="18" t="s">
        <v>796</v>
      </c>
      <c r="H166" s="18" t="s">
        <v>120</v>
      </c>
      <c r="I166" s="18" t="s">
        <v>239</v>
      </c>
      <c r="J166" s="10" t="s">
        <v>78</v>
      </c>
      <c r="K166" s="18" t="s">
        <v>279</v>
      </c>
      <c r="L166" s="18" t="s">
        <v>85</v>
      </c>
      <c r="M166" s="11"/>
      <c r="N166" s="11" t="s">
        <v>31</v>
      </c>
      <c r="O166" s="18"/>
    </row>
    <row r="167" customFormat="false" ht="23.85" hidden="false" customHeight="false" outlineLevel="0" collapsed="false">
      <c r="A167" s="18" t="s">
        <v>820</v>
      </c>
      <c r="B167" s="19" t="s">
        <v>273</v>
      </c>
      <c r="C167" s="18" t="s">
        <v>58</v>
      </c>
      <c r="D167" s="18" t="s">
        <v>58</v>
      </c>
      <c r="E167" s="18" t="s">
        <v>821</v>
      </c>
      <c r="F167" s="20" t="s">
        <v>822</v>
      </c>
      <c r="G167" s="18" t="s">
        <v>277</v>
      </c>
      <c r="H167" s="18" t="s">
        <v>823</v>
      </c>
      <c r="I167" s="18" t="s">
        <v>824</v>
      </c>
      <c r="J167" s="10" t="s">
        <v>78</v>
      </c>
      <c r="K167" s="18" t="s">
        <v>279</v>
      </c>
      <c r="L167" s="18" t="s">
        <v>85</v>
      </c>
      <c r="M167" s="11"/>
      <c r="N167" s="11" t="s">
        <v>31</v>
      </c>
      <c r="O167" s="18"/>
    </row>
    <row r="168" customFormat="false" ht="15" hidden="false" customHeight="false" outlineLevel="0" collapsed="false">
      <c r="A168" s="18" t="s">
        <v>825</v>
      </c>
      <c r="B168" s="19" t="s">
        <v>273</v>
      </c>
      <c r="C168" s="18" t="s">
        <v>58</v>
      </c>
      <c r="D168" s="18" t="s">
        <v>58</v>
      </c>
      <c r="E168" s="18" t="s">
        <v>826</v>
      </c>
      <c r="F168" s="20" t="s">
        <v>827</v>
      </c>
      <c r="G168" s="18" t="s">
        <v>796</v>
      </c>
      <c r="H168" s="18" t="s">
        <v>828</v>
      </c>
      <c r="I168" s="18" t="s">
        <v>829</v>
      </c>
      <c r="J168" s="13" t="s">
        <v>94</v>
      </c>
      <c r="K168" s="18" t="s">
        <v>279</v>
      </c>
      <c r="L168" s="18" t="s">
        <v>95</v>
      </c>
      <c r="M168" s="11"/>
      <c r="N168" s="11" t="s">
        <v>31</v>
      </c>
      <c r="O168" s="18"/>
    </row>
    <row r="169" customFormat="false" ht="15" hidden="false" customHeight="false" outlineLevel="0" collapsed="false">
      <c r="A169" s="24" t="s">
        <v>830</v>
      </c>
      <c r="B169" s="25" t="s">
        <v>831</v>
      </c>
      <c r="C169" s="24" t="s">
        <v>60</v>
      </c>
      <c r="D169" s="24" t="s">
        <v>60</v>
      </c>
      <c r="E169" s="24" t="s">
        <v>832</v>
      </c>
      <c r="F169" s="26" t="s">
        <v>833</v>
      </c>
      <c r="G169" s="24" t="s">
        <v>168</v>
      </c>
      <c r="H169" s="24" t="s">
        <v>834</v>
      </c>
      <c r="I169" s="24" t="s">
        <v>835</v>
      </c>
      <c r="J169" s="10" t="s">
        <v>78</v>
      </c>
      <c r="K169" s="24" t="s">
        <v>179</v>
      </c>
      <c r="L169" s="24" t="s">
        <v>836</v>
      </c>
      <c r="M169" s="11"/>
      <c r="N169" s="12" t="s">
        <v>30</v>
      </c>
      <c r="O169" s="24" t="s">
        <v>837</v>
      </c>
    </row>
    <row r="170" customFormat="false" ht="15" hidden="false" customHeight="false" outlineLevel="0" collapsed="false">
      <c r="A170" s="24" t="s">
        <v>838</v>
      </c>
      <c r="B170" s="25" t="s">
        <v>831</v>
      </c>
      <c r="C170" s="24" t="s">
        <v>60</v>
      </c>
      <c r="D170" s="24" t="s">
        <v>60</v>
      </c>
      <c r="E170" s="24" t="s">
        <v>839</v>
      </c>
      <c r="F170" s="26" t="s">
        <v>840</v>
      </c>
      <c r="G170" s="24" t="s">
        <v>183</v>
      </c>
      <c r="H170" s="24" t="s">
        <v>834</v>
      </c>
      <c r="I170" s="24"/>
      <c r="J170" s="10" t="s">
        <v>78</v>
      </c>
      <c r="K170" s="24" t="s">
        <v>179</v>
      </c>
      <c r="L170" s="24" t="s">
        <v>85</v>
      </c>
      <c r="M170" s="11"/>
      <c r="N170" s="12" t="s">
        <v>30</v>
      </c>
      <c r="O170" s="24"/>
    </row>
    <row r="171" customFormat="false" ht="15" hidden="false" customHeight="false" outlineLevel="0" collapsed="false">
      <c r="A171" s="24" t="s">
        <v>841</v>
      </c>
      <c r="B171" s="25" t="s">
        <v>831</v>
      </c>
      <c r="C171" s="24" t="s">
        <v>60</v>
      </c>
      <c r="D171" s="24" t="s">
        <v>60</v>
      </c>
      <c r="E171" s="24" t="s">
        <v>842</v>
      </c>
      <c r="F171" s="26" t="s">
        <v>843</v>
      </c>
      <c r="G171" s="24" t="s">
        <v>168</v>
      </c>
      <c r="H171" s="24" t="s">
        <v>844</v>
      </c>
      <c r="I171" s="24" t="s">
        <v>845</v>
      </c>
      <c r="J171" s="10" t="s">
        <v>78</v>
      </c>
      <c r="K171" s="24" t="s">
        <v>846</v>
      </c>
      <c r="L171" s="24" t="s">
        <v>171</v>
      </c>
      <c r="M171" s="11" t="s">
        <v>847</v>
      </c>
      <c r="N171" s="12" t="s">
        <v>30</v>
      </c>
      <c r="O171" s="24"/>
    </row>
    <row r="172" customFormat="false" ht="23.85" hidden="false" customHeight="false" outlineLevel="0" collapsed="false">
      <c r="A172" s="24" t="s">
        <v>848</v>
      </c>
      <c r="B172" s="25" t="s">
        <v>831</v>
      </c>
      <c r="C172" s="24" t="s">
        <v>60</v>
      </c>
      <c r="D172" s="24" t="s">
        <v>60</v>
      </c>
      <c r="E172" s="24" t="s">
        <v>849</v>
      </c>
      <c r="F172" s="26" t="s">
        <v>850</v>
      </c>
      <c r="G172" s="24" t="s">
        <v>168</v>
      </c>
      <c r="H172" s="24" t="s">
        <v>844</v>
      </c>
      <c r="I172" s="24" t="s">
        <v>845</v>
      </c>
      <c r="J172" s="10" t="s">
        <v>78</v>
      </c>
      <c r="K172" s="24" t="s">
        <v>846</v>
      </c>
      <c r="L172" s="24" t="s">
        <v>171</v>
      </c>
      <c r="M172" s="11" t="s">
        <v>851</v>
      </c>
      <c r="N172" s="12" t="s">
        <v>30</v>
      </c>
      <c r="O172" s="24"/>
    </row>
    <row r="173" customFormat="false" ht="15" hidden="false" customHeight="false" outlineLevel="0" collapsed="false">
      <c r="A173" s="24" t="s">
        <v>852</v>
      </c>
      <c r="B173" s="25" t="s">
        <v>831</v>
      </c>
      <c r="C173" s="24" t="s">
        <v>60</v>
      </c>
      <c r="D173" s="24" t="s">
        <v>60</v>
      </c>
      <c r="E173" s="24" t="s">
        <v>853</v>
      </c>
      <c r="F173" s="26" t="s">
        <v>854</v>
      </c>
      <c r="G173" s="24" t="s">
        <v>168</v>
      </c>
      <c r="H173" s="24" t="s">
        <v>844</v>
      </c>
      <c r="I173" s="24" t="s">
        <v>845</v>
      </c>
      <c r="J173" s="10" t="s">
        <v>78</v>
      </c>
      <c r="K173" s="24" t="s">
        <v>846</v>
      </c>
      <c r="L173" s="24" t="s">
        <v>171</v>
      </c>
      <c r="M173" s="11" t="s">
        <v>855</v>
      </c>
      <c r="N173" s="11" t="s">
        <v>31</v>
      </c>
      <c r="O173" s="24"/>
    </row>
    <row r="174" customFormat="false" ht="23.85" hidden="false" customHeight="false" outlineLevel="0" collapsed="false">
      <c r="A174" s="24" t="s">
        <v>856</v>
      </c>
      <c r="B174" s="25" t="s">
        <v>831</v>
      </c>
      <c r="C174" s="24" t="s">
        <v>60</v>
      </c>
      <c r="D174" s="24" t="s">
        <v>60</v>
      </c>
      <c r="E174" s="24" t="s">
        <v>857</v>
      </c>
      <c r="F174" s="26" t="s">
        <v>858</v>
      </c>
      <c r="G174" s="24" t="s">
        <v>168</v>
      </c>
      <c r="H174" s="24" t="s">
        <v>844</v>
      </c>
      <c r="I174" s="24" t="s">
        <v>845</v>
      </c>
      <c r="J174" s="10" t="s">
        <v>78</v>
      </c>
      <c r="K174" s="24" t="s">
        <v>846</v>
      </c>
      <c r="L174" s="24" t="s">
        <v>171</v>
      </c>
      <c r="M174" s="11" t="s">
        <v>859</v>
      </c>
      <c r="N174" s="12" t="s">
        <v>30</v>
      </c>
      <c r="O174" s="24"/>
    </row>
    <row r="175" customFormat="false" ht="15" hidden="false" customHeight="false" outlineLevel="0" collapsed="false">
      <c r="A175" s="24" t="s">
        <v>860</v>
      </c>
      <c r="B175" s="25" t="s">
        <v>831</v>
      </c>
      <c r="C175" s="24" t="s">
        <v>60</v>
      </c>
      <c r="D175" s="24" t="s">
        <v>60</v>
      </c>
      <c r="E175" s="24" t="s">
        <v>861</v>
      </c>
      <c r="F175" s="26" t="s">
        <v>862</v>
      </c>
      <c r="G175" s="24" t="s">
        <v>168</v>
      </c>
      <c r="H175" s="24" t="s">
        <v>863</v>
      </c>
      <c r="I175" s="24" t="s">
        <v>864</v>
      </c>
      <c r="J175" s="10" t="s">
        <v>78</v>
      </c>
      <c r="K175" s="24" t="s">
        <v>846</v>
      </c>
      <c r="L175" s="24" t="s">
        <v>85</v>
      </c>
      <c r="M175" s="11" t="s">
        <v>865</v>
      </c>
      <c r="N175" s="12" t="s">
        <v>30</v>
      </c>
      <c r="O175" s="24"/>
    </row>
    <row r="176" customFormat="false" ht="15" hidden="false" customHeight="false" outlineLevel="0" collapsed="false">
      <c r="A176" s="24" t="s">
        <v>866</v>
      </c>
      <c r="B176" s="25" t="s">
        <v>831</v>
      </c>
      <c r="C176" s="24" t="s">
        <v>60</v>
      </c>
      <c r="D176" s="24" t="s">
        <v>60</v>
      </c>
      <c r="E176" s="24" t="s">
        <v>867</v>
      </c>
      <c r="F176" s="26" t="s">
        <v>868</v>
      </c>
      <c r="G176" s="24" t="s">
        <v>168</v>
      </c>
      <c r="H176" s="24" t="s">
        <v>863</v>
      </c>
      <c r="I176" s="24" t="s">
        <v>869</v>
      </c>
      <c r="J176" s="10" t="s">
        <v>78</v>
      </c>
      <c r="K176" s="24" t="s">
        <v>846</v>
      </c>
      <c r="L176" s="24" t="s">
        <v>85</v>
      </c>
      <c r="M176" s="11" t="s">
        <v>870</v>
      </c>
      <c r="N176" s="12" t="s">
        <v>30</v>
      </c>
      <c r="O176" s="24"/>
    </row>
    <row r="177" customFormat="false" ht="15" hidden="false" customHeight="false" outlineLevel="0" collapsed="false">
      <c r="A177" s="24" t="s">
        <v>871</v>
      </c>
      <c r="B177" s="25" t="s">
        <v>831</v>
      </c>
      <c r="C177" s="24" t="s">
        <v>60</v>
      </c>
      <c r="D177" s="24" t="s">
        <v>60</v>
      </c>
      <c r="E177" s="24" t="s">
        <v>872</v>
      </c>
      <c r="F177" s="26" t="s">
        <v>873</v>
      </c>
      <c r="G177" s="24" t="s">
        <v>168</v>
      </c>
      <c r="H177" s="24" t="s">
        <v>120</v>
      </c>
      <c r="I177" s="24" t="s">
        <v>874</v>
      </c>
      <c r="J177" s="10" t="s">
        <v>78</v>
      </c>
      <c r="K177" s="24" t="s">
        <v>179</v>
      </c>
      <c r="L177" s="24" t="s">
        <v>85</v>
      </c>
      <c r="M177" s="11"/>
      <c r="N177" s="12" t="s">
        <v>30</v>
      </c>
      <c r="O177" s="24"/>
    </row>
    <row r="178" customFormat="false" ht="15" hidden="false" customHeight="false" outlineLevel="0" collapsed="false">
      <c r="A178" s="18" t="s">
        <v>875</v>
      </c>
      <c r="B178" s="19" t="s">
        <v>273</v>
      </c>
      <c r="C178" s="18" t="s">
        <v>58</v>
      </c>
      <c r="D178" s="18" t="s">
        <v>58</v>
      </c>
      <c r="E178" s="18" t="s">
        <v>876</v>
      </c>
      <c r="F178" s="20" t="s">
        <v>877</v>
      </c>
      <c r="G178" s="18" t="s">
        <v>878</v>
      </c>
      <c r="H178" s="18" t="s">
        <v>120</v>
      </c>
      <c r="I178" s="18" t="s">
        <v>879</v>
      </c>
      <c r="J178" s="10" t="s">
        <v>78</v>
      </c>
      <c r="K178" s="18" t="s">
        <v>279</v>
      </c>
      <c r="L178" s="18" t="s">
        <v>85</v>
      </c>
      <c r="M178" s="11"/>
      <c r="N178" s="12" t="s">
        <v>30</v>
      </c>
      <c r="O178" s="18" t="s">
        <v>880</v>
      </c>
    </row>
    <row r="179" customFormat="false" ht="23.85" hidden="false" customHeight="false" outlineLevel="0" collapsed="false">
      <c r="A179" s="18" t="s">
        <v>881</v>
      </c>
      <c r="B179" s="19" t="s">
        <v>273</v>
      </c>
      <c r="C179" s="18" t="s">
        <v>58</v>
      </c>
      <c r="D179" s="18" t="s">
        <v>58</v>
      </c>
      <c r="E179" s="18" t="s">
        <v>882</v>
      </c>
      <c r="F179" s="20" t="s">
        <v>883</v>
      </c>
      <c r="G179" s="18" t="s">
        <v>796</v>
      </c>
      <c r="H179" s="18" t="s">
        <v>120</v>
      </c>
      <c r="I179" s="18" t="s">
        <v>884</v>
      </c>
      <c r="J179" s="13" t="s">
        <v>94</v>
      </c>
      <c r="K179" s="18" t="s">
        <v>279</v>
      </c>
      <c r="L179" s="18" t="s">
        <v>85</v>
      </c>
      <c r="M179" s="11"/>
      <c r="N179" s="12" t="s">
        <v>30</v>
      </c>
      <c r="O179" s="18"/>
    </row>
    <row r="180" customFormat="false" ht="15" hidden="false" customHeight="false" outlineLevel="0" collapsed="false">
      <c r="A180" s="18" t="s">
        <v>885</v>
      </c>
      <c r="B180" s="19" t="s">
        <v>273</v>
      </c>
      <c r="C180" s="18" t="s">
        <v>58</v>
      </c>
      <c r="D180" s="18" t="s">
        <v>58</v>
      </c>
      <c r="E180" s="18" t="s">
        <v>886</v>
      </c>
      <c r="F180" s="20" t="s">
        <v>887</v>
      </c>
      <c r="G180" s="18" t="s">
        <v>796</v>
      </c>
      <c r="H180" s="18" t="s">
        <v>120</v>
      </c>
      <c r="I180" s="18" t="s">
        <v>888</v>
      </c>
      <c r="J180" s="10" t="s">
        <v>78</v>
      </c>
      <c r="K180" s="18" t="s">
        <v>279</v>
      </c>
      <c r="L180" s="18" t="s">
        <v>85</v>
      </c>
      <c r="M180" s="11"/>
      <c r="N180" s="12" t="s">
        <v>30</v>
      </c>
      <c r="O180" s="18" t="s">
        <v>889</v>
      </c>
    </row>
    <row r="181" customFormat="false" ht="23.85" hidden="false" customHeight="false" outlineLevel="0" collapsed="false">
      <c r="A181" s="18" t="s">
        <v>890</v>
      </c>
      <c r="B181" s="19" t="s">
        <v>273</v>
      </c>
      <c r="C181" s="18" t="s">
        <v>58</v>
      </c>
      <c r="D181" s="18" t="s">
        <v>58</v>
      </c>
      <c r="E181" s="18" t="s">
        <v>891</v>
      </c>
      <c r="F181" s="20" t="s">
        <v>892</v>
      </c>
      <c r="G181" s="18" t="s">
        <v>796</v>
      </c>
      <c r="H181" s="18" t="s">
        <v>120</v>
      </c>
      <c r="I181" s="18" t="s">
        <v>893</v>
      </c>
      <c r="J181" s="14" t="s">
        <v>102</v>
      </c>
      <c r="K181" s="18" t="s">
        <v>279</v>
      </c>
      <c r="L181" s="18" t="s">
        <v>85</v>
      </c>
      <c r="M181" s="11"/>
      <c r="N181" s="11" t="s">
        <v>31</v>
      </c>
      <c r="O181" s="18"/>
    </row>
    <row r="182" customFormat="false" ht="15" hidden="false" customHeight="false" outlineLevel="0" collapsed="false">
      <c r="A182" s="18" t="s">
        <v>894</v>
      </c>
      <c r="B182" s="19" t="s">
        <v>273</v>
      </c>
      <c r="C182" s="18" t="s">
        <v>58</v>
      </c>
      <c r="D182" s="18" t="s">
        <v>58</v>
      </c>
      <c r="E182" s="18" t="s">
        <v>895</v>
      </c>
      <c r="F182" s="20" t="s">
        <v>896</v>
      </c>
      <c r="G182" s="18" t="s">
        <v>277</v>
      </c>
      <c r="H182" s="18" t="s">
        <v>120</v>
      </c>
      <c r="I182" s="18" t="s">
        <v>413</v>
      </c>
      <c r="J182" s="13" t="s">
        <v>94</v>
      </c>
      <c r="K182" s="18" t="s">
        <v>279</v>
      </c>
      <c r="L182" s="18" t="s">
        <v>85</v>
      </c>
      <c r="M182" s="11"/>
      <c r="N182" s="11" t="s">
        <v>31</v>
      </c>
      <c r="O182" s="18"/>
    </row>
    <row r="183" customFormat="false" ht="15" hidden="false" customHeight="false" outlineLevel="0" collapsed="false">
      <c r="A183" s="18" t="s">
        <v>897</v>
      </c>
      <c r="B183" s="19" t="s">
        <v>273</v>
      </c>
      <c r="C183" s="18" t="s">
        <v>58</v>
      </c>
      <c r="D183" s="18" t="s">
        <v>58</v>
      </c>
      <c r="E183" s="18" t="s">
        <v>898</v>
      </c>
      <c r="F183" s="20" t="s">
        <v>899</v>
      </c>
      <c r="G183" s="18" t="s">
        <v>796</v>
      </c>
      <c r="H183" s="18" t="s">
        <v>120</v>
      </c>
      <c r="I183" s="18" t="s">
        <v>900</v>
      </c>
      <c r="J183" s="13" t="s">
        <v>94</v>
      </c>
      <c r="K183" s="18" t="s">
        <v>279</v>
      </c>
      <c r="L183" s="18" t="s">
        <v>85</v>
      </c>
      <c r="M183" s="11"/>
      <c r="N183" s="11" t="s">
        <v>31</v>
      </c>
      <c r="O183" s="18"/>
    </row>
    <row r="184" customFormat="false" ht="15" hidden="false" customHeight="false" outlineLevel="0" collapsed="false">
      <c r="A184" s="18" t="s">
        <v>901</v>
      </c>
      <c r="B184" s="19" t="s">
        <v>273</v>
      </c>
      <c r="C184" s="18" t="s">
        <v>58</v>
      </c>
      <c r="D184" s="18" t="s">
        <v>58</v>
      </c>
      <c r="E184" s="18" t="s">
        <v>902</v>
      </c>
      <c r="F184" s="20" t="s">
        <v>903</v>
      </c>
      <c r="G184" s="18" t="s">
        <v>796</v>
      </c>
      <c r="H184" s="18" t="s">
        <v>120</v>
      </c>
      <c r="I184" s="18" t="s">
        <v>904</v>
      </c>
      <c r="J184" s="10" t="s">
        <v>78</v>
      </c>
      <c r="K184" s="18" t="s">
        <v>279</v>
      </c>
      <c r="L184" s="18" t="s">
        <v>85</v>
      </c>
      <c r="M184" s="11"/>
      <c r="N184" s="11" t="s">
        <v>31</v>
      </c>
      <c r="O184" s="18"/>
    </row>
    <row r="185" customFormat="false" ht="15" hidden="false" customHeight="false" outlineLevel="0" collapsed="false">
      <c r="A185" s="18" t="s">
        <v>905</v>
      </c>
      <c r="B185" s="19" t="s">
        <v>273</v>
      </c>
      <c r="C185" s="18" t="s">
        <v>58</v>
      </c>
      <c r="D185" s="18" t="s">
        <v>58</v>
      </c>
      <c r="E185" s="18" t="s">
        <v>906</v>
      </c>
      <c r="F185" s="20" t="s">
        <v>907</v>
      </c>
      <c r="G185" s="18" t="s">
        <v>796</v>
      </c>
      <c r="H185" s="18" t="s">
        <v>120</v>
      </c>
      <c r="I185" s="18" t="s">
        <v>908</v>
      </c>
      <c r="J185" s="13" t="s">
        <v>94</v>
      </c>
      <c r="K185" s="18" t="s">
        <v>279</v>
      </c>
      <c r="L185" s="18" t="s">
        <v>85</v>
      </c>
      <c r="M185" s="11"/>
      <c r="N185" s="11" t="s">
        <v>31</v>
      </c>
      <c r="O185" s="18"/>
    </row>
    <row r="186" customFormat="false" ht="23.85" hidden="false" customHeight="false" outlineLevel="0" collapsed="false">
      <c r="A186" s="18" t="s">
        <v>909</v>
      </c>
      <c r="B186" s="19" t="s">
        <v>273</v>
      </c>
      <c r="C186" s="18" t="s">
        <v>58</v>
      </c>
      <c r="D186" s="18" t="s">
        <v>58</v>
      </c>
      <c r="E186" s="18" t="s">
        <v>910</v>
      </c>
      <c r="F186" s="20" t="s">
        <v>911</v>
      </c>
      <c r="G186" s="18" t="s">
        <v>277</v>
      </c>
      <c r="H186" s="18" t="s">
        <v>120</v>
      </c>
      <c r="I186" s="18" t="s">
        <v>56</v>
      </c>
      <c r="J186" s="13" t="s">
        <v>94</v>
      </c>
      <c r="K186" s="18" t="s">
        <v>279</v>
      </c>
      <c r="L186" s="18" t="s">
        <v>85</v>
      </c>
      <c r="M186" s="11"/>
      <c r="N186" s="11" t="s">
        <v>31</v>
      </c>
      <c r="O186" s="18"/>
    </row>
    <row r="187" customFormat="false" ht="23.85" hidden="false" customHeight="false" outlineLevel="0" collapsed="false">
      <c r="A187" s="18" t="s">
        <v>912</v>
      </c>
      <c r="B187" s="19" t="s">
        <v>273</v>
      </c>
      <c r="C187" s="18" t="s">
        <v>58</v>
      </c>
      <c r="D187" s="18" t="s">
        <v>58</v>
      </c>
      <c r="E187" s="18" t="s">
        <v>913</v>
      </c>
      <c r="F187" s="20" t="s">
        <v>914</v>
      </c>
      <c r="G187" s="18" t="s">
        <v>277</v>
      </c>
      <c r="H187" s="18" t="s">
        <v>120</v>
      </c>
      <c r="I187" s="18" t="s">
        <v>915</v>
      </c>
      <c r="J187" s="13" t="s">
        <v>94</v>
      </c>
      <c r="K187" s="18" t="s">
        <v>279</v>
      </c>
      <c r="L187" s="18" t="s">
        <v>85</v>
      </c>
      <c r="M187" s="11"/>
      <c r="N187" s="11" t="s">
        <v>31</v>
      </c>
      <c r="O187" s="18"/>
    </row>
    <row r="188" customFormat="false" ht="15" hidden="false" customHeight="false" outlineLevel="0" collapsed="false">
      <c r="A188" s="18" t="s">
        <v>916</v>
      </c>
      <c r="B188" s="19" t="s">
        <v>273</v>
      </c>
      <c r="C188" s="18" t="s">
        <v>58</v>
      </c>
      <c r="D188" s="18" t="s">
        <v>58</v>
      </c>
      <c r="E188" s="18" t="s">
        <v>917</v>
      </c>
      <c r="F188" s="20" t="s">
        <v>918</v>
      </c>
      <c r="G188" s="18" t="s">
        <v>168</v>
      </c>
      <c r="H188" s="18" t="s">
        <v>120</v>
      </c>
      <c r="I188" s="18" t="s">
        <v>919</v>
      </c>
      <c r="J188" s="10" t="s">
        <v>78</v>
      </c>
      <c r="K188" s="18" t="s">
        <v>279</v>
      </c>
      <c r="L188" s="18" t="s">
        <v>85</v>
      </c>
      <c r="M188" s="11"/>
      <c r="N188" s="11" t="s">
        <v>31</v>
      </c>
      <c r="O188" s="18"/>
    </row>
    <row r="189" customFormat="false" ht="15" hidden="false" customHeight="false" outlineLevel="0" collapsed="false">
      <c r="A189" s="7" t="s">
        <v>920</v>
      </c>
      <c r="B189" s="8" t="s">
        <v>78</v>
      </c>
      <c r="C189" s="7" t="s">
        <v>39</v>
      </c>
      <c r="D189" s="7" t="s">
        <v>42</v>
      </c>
      <c r="E189" s="7" t="s">
        <v>921</v>
      </c>
      <c r="F189" s="9" t="s">
        <v>922</v>
      </c>
      <c r="G189" s="7" t="s">
        <v>81</v>
      </c>
      <c r="H189" s="7" t="s">
        <v>120</v>
      </c>
      <c r="I189" s="7" t="s">
        <v>923</v>
      </c>
      <c r="J189" s="13" t="s">
        <v>94</v>
      </c>
      <c r="K189" s="7" t="s">
        <v>84</v>
      </c>
      <c r="L189" s="7" t="s">
        <v>85</v>
      </c>
      <c r="M189" s="11"/>
      <c r="N189" s="11" t="s">
        <v>31</v>
      </c>
      <c r="O189" s="7"/>
    </row>
    <row r="190" customFormat="false" ht="15" hidden="false" customHeight="false" outlineLevel="0" collapsed="false">
      <c r="A190" s="7" t="s">
        <v>924</v>
      </c>
      <c r="B190" s="8" t="s">
        <v>78</v>
      </c>
      <c r="C190" s="7" t="s">
        <v>39</v>
      </c>
      <c r="D190" s="7" t="s">
        <v>42</v>
      </c>
      <c r="E190" s="7" t="s">
        <v>925</v>
      </c>
      <c r="F190" s="9" t="s">
        <v>926</v>
      </c>
      <c r="G190" s="7" t="s">
        <v>927</v>
      </c>
      <c r="H190" s="7" t="s">
        <v>120</v>
      </c>
      <c r="I190" s="7" t="s">
        <v>928</v>
      </c>
      <c r="J190" s="13" t="s">
        <v>94</v>
      </c>
      <c r="K190" s="7" t="s">
        <v>84</v>
      </c>
      <c r="L190" s="7" t="s">
        <v>85</v>
      </c>
      <c r="M190" s="11"/>
      <c r="N190" s="11" t="s">
        <v>31</v>
      </c>
      <c r="O190" s="7"/>
    </row>
    <row r="191" customFormat="false" ht="15" hidden="false" customHeight="false" outlineLevel="0" collapsed="false">
      <c r="A191" s="7" t="s">
        <v>929</v>
      </c>
      <c r="B191" s="8" t="s">
        <v>78</v>
      </c>
      <c r="C191" s="7" t="s">
        <v>39</v>
      </c>
      <c r="D191" s="7" t="s">
        <v>40</v>
      </c>
      <c r="E191" s="7" t="s">
        <v>930</v>
      </c>
      <c r="F191" s="9" t="s">
        <v>931</v>
      </c>
      <c r="G191" s="7" t="s">
        <v>91</v>
      </c>
      <c r="H191" s="7" t="s">
        <v>120</v>
      </c>
      <c r="I191" s="7" t="s">
        <v>932</v>
      </c>
      <c r="J191" s="10" t="s">
        <v>78</v>
      </c>
      <c r="K191" s="7" t="s">
        <v>84</v>
      </c>
      <c r="L191" s="7" t="s">
        <v>85</v>
      </c>
      <c r="M191" s="11"/>
      <c r="N191" s="11" t="s">
        <v>31</v>
      </c>
      <c r="O191" s="7"/>
    </row>
    <row r="192" customFormat="false" ht="15" hidden="false" customHeight="false" outlineLevel="0" collapsed="false">
      <c r="A192" s="7" t="s">
        <v>933</v>
      </c>
      <c r="B192" s="8" t="s">
        <v>78</v>
      </c>
      <c r="C192" s="7" t="s">
        <v>39</v>
      </c>
      <c r="D192" s="7" t="s">
        <v>40</v>
      </c>
      <c r="E192" s="7" t="s">
        <v>934</v>
      </c>
      <c r="F192" s="9" t="s">
        <v>935</v>
      </c>
      <c r="G192" s="7" t="s">
        <v>168</v>
      </c>
      <c r="H192" s="7" t="s">
        <v>120</v>
      </c>
      <c r="I192" s="7" t="s">
        <v>936</v>
      </c>
      <c r="J192" s="10" t="s">
        <v>78</v>
      </c>
      <c r="K192" s="7" t="s">
        <v>84</v>
      </c>
      <c r="L192" s="7" t="s">
        <v>85</v>
      </c>
      <c r="M192" s="11"/>
      <c r="N192" s="11" t="s">
        <v>31</v>
      </c>
      <c r="O192" s="7"/>
    </row>
    <row r="193" customFormat="false" ht="15" hidden="false" customHeight="false" outlineLevel="0" collapsed="false">
      <c r="A193" s="15" t="s">
        <v>937</v>
      </c>
      <c r="B193" s="16" t="s">
        <v>174</v>
      </c>
      <c r="C193" s="15" t="s">
        <v>39</v>
      </c>
      <c r="D193" s="15" t="s">
        <v>175</v>
      </c>
      <c r="E193" s="15" t="s">
        <v>938</v>
      </c>
      <c r="F193" s="17" t="s">
        <v>939</v>
      </c>
      <c r="G193" s="15" t="s">
        <v>107</v>
      </c>
      <c r="H193" s="15" t="s">
        <v>120</v>
      </c>
      <c r="I193" s="15" t="s">
        <v>184</v>
      </c>
      <c r="J193" s="10" t="s">
        <v>78</v>
      </c>
      <c r="K193" s="15" t="s">
        <v>179</v>
      </c>
      <c r="L193" s="15" t="s">
        <v>85</v>
      </c>
      <c r="M193" s="11"/>
      <c r="N193" s="12" t="s">
        <v>30</v>
      </c>
      <c r="O193" s="15"/>
    </row>
    <row r="194" customFormat="false" ht="15" hidden="false" customHeight="false" outlineLevel="0" collapsed="false">
      <c r="A194" s="15" t="s">
        <v>940</v>
      </c>
      <c r="B194" s="16" t="s">
        <v>174</v>
      </c>
      <c r="C194" s="15" t="s">
        <v>39</v>
      </c>
      <c r="D194" s="15" t="s">
        <v>175</v>
      </c>
      <c r="E194" s="15" t="s">
        <v>941</v>
      </c>
      <c r="F194" s="17" t="s">
        <v>942</v>
      </c>
      <c r="G194" s="15" t="s">
        <v>943</v>
      </c>
      <c r="H194" s="15" t="s">
        <v>120</v>
      </c>
      <c r="I194" s="15" t="s">
        <v>944</v>
      </c>
      <c r="J194" s="10" t="s">
        <v>78</v>
      </c>
      <c r="K194" s="15" t="s">
        <v>179</v>
      </c>
      <c r="L194" s="15" t="s">
        <v>85</v>
      </c>
      <c r="M194" s="11"/>
      <c r="N194" s="11" t="s">
        <v>31</v>
      </c>
      <c r="O194" s="15"/>
    </row>
    <row r="195" customFormat="false" ht="15" hidden="false" customHeight="false" outlineLevel="0" collapsed="false">
      <c r="A195" s="7" t="s">
        <v>945</v>
      </c>
      <c r="B195" s="8" t="s">
        <v>78</v>
      </c>
      <c r="C195" s="7" t="s">
        <v>41</v>
      </c>
      <c r="D195" s="7" t="s">
        <v>44</v>
      </c>
      <c r="E195" s="7" t="s">
        <v>946</v>
      </c>
      <c r="F195" s="9" t="s">
        <v>947</v>
      </c>
      <c r="G195" s="7" t="s">
        <v>948</v>
      </c>
      <c r="H195" s="7" t="s">
        <v>120</v>
      </c>
      <c r="I195" s="7" t="s">
        <v>949</v>
      </c>
      <c r="J195" s="13" t="s">
        <v>94</v>
      </c>
      <c r="K195" s="7" t="s">
        <v>84</v>
      </c>
      <c r="L195" s="7" t="s">
        <v>85</v>
      </c>
      <c r="M195" s="11"/>
      <c r="N195" s="11" t="s">
        <v>31</v>
      </c>
      <c r="O195" s="7" t="s">
        <v>950</v>
      </c>
    </row>
    <row r="196" customFormat="false" ht="15" hidden="false" customHeight="false" outlineLevel="0" collapsed="false">
      <c r="A196" s="7" t="s">
        <v>951</v>
      </c>
      <c r="B196" s="8" t="s">
        <v>78</v>
      </c>
      <c r="C196" s="7" t="s">
        <v>41</v>
      </c>
      <c r="D196" s="7" t="s">
        <v>44</v>
      </c>
      <c r="E196" s="7" t="s">
        <v>952</v>
      </c>
      <c r="F196" s="9" t="s">
        <v>953</v>
      </c>
      <c r="G196" s="7" t="s">
        <v>948</v>
      </c>
      <c r="H196" s="7" t="s">
        <v>120</v>
      </c>
      <c r="I196" s="7" t="s">
        <v>954</v>
      </c>
      <c r="J196" s="10" t="s">
        <v>78</v>
      </c>
      <c r="K196" s="7" t="s">
        <v>84</v>
      </c>
      <c r="L196" s="7" t="s">
        <v>85</v>
      </c>
      <c r="M196" s="11"/>
      <c r="N196" s="12" t="s">
        <v>30</v>
      </c>
      <c r="O196" s="7"/>
    </row>
    <row r="197" customFormat="false" ht="15" hidden="false" customHeight="false" outlineLevel="0" collapsed="false">
      <c r="A197" s="7" t="s">
        <v>955</v>
      </c>
      <c r="B197" s="8" t="s">
        <v>78</v>
      </c>
      <c r="C197" s="7" t="s">
        <v>41</v>
      </c>
      <c r="D197" s="7" t="s">
        <v>44</v>
      </c>
      <c r="E197" s="7" t="s">
        <v>956</v>
      </c>
      <c r="F197" s="9" t="s">
        <v>957</v>
      </c>
      <c r="G197" s="7" t="s">
        <v>168</v>
      </c>
      <c r="H197" s="7" t="s">
        <v>120</v>
      </c>
      <c r="I197" s="7" t="s">
        <v>958</v>
      </c>
      <c r="J197" s="13" t="s">
        <v>94</v>
      </c>
      <c r="K197" s="7" t="s">
        <v>84</v>
      </c>
      <c r="L197" s="7" t="s">
        <v>85</v>
      </c>
      <c r="M197" s="11"/>
      <c r="N197" s="11" t="s">
        <v>31</v>
      </c>
      <c r="O197" s="7"/>
    </row>
    <row r="198" customFormat="false" ht="15" hidden="false" customHeight="false" outlineLevel="0" collapsed="false">
      <c r="A198" s="7" t="s">
        <v>959</v>
      </c>
      <c r="B198" s="8" t="s">
        <v>78</v>
      </c>
      <c r="C198" s="7" t="s">
        <v>41</v>
      </c>
      <c r="D198" s="7" t="s">
        <v>44</v>
      </c>
      <c r="E198" s="7" t="s">
        <v>960</v>
      </c>
      <c r="F198" s="9" t="s">
        <v>961</v>
      </c>
      <c r="G198" s="7" t="s">
        <v>948</v>
      </c>
      <c r="H198" s="7" t="s">
        <v>120</v>
      </c>
      <c r="I198" s="7" t="s">
        <v>962</v>
      </c>
      <c r="J198" s="10" t="s">
        <v>78</v>
      </c>
      <c r="K198" s="7" t="s">
        <v>84</v>
      </c>
      <c r="L198" s="7" t="s">
        <v>85</v>
      </c>
      <c r="M198" s="11"/>
      <c r="N198" s="12" t="s">
        <v>30</v>
      </c>
      <c r="O198" s="7"/>
    </row>
    <row r="199" customFormat="false" ht="15" hidden="false" customHeight="false" outlineLevel="0" collapsed="false">
      <c r="A199" s="7" t="s">
        <v>963</v>
      </c>
      <c r="B199" s="8" t="s">
        <v>78</v>
      </c>
      <c r="C199" s="7" t="s">
        <v>41</v>
      </c>
      <c r="D199" s="7" t="s">
        <v>46</v>
      </c>
      <c r="E199" s="7" t="s">
        <v>964</v>
      </c>
      <c r="F199" s="9" t="s">
        <v>965</v>
      </c>
      <c r="G199" s="7" t="s">
        <v>228</v>
      </c>
      <c r="H199" s="7" t="s">
        <v>120</v>
      </c>
      <c r="I199" s="7" t="s">
        <v>966</v>
      </c>
      <c r="J199" s="10" t="s">
        <v>78</v>
      </c>
      <c r="K199" s="7" t="s">
        <v>84</v>
      </c>
      <c r="L199" s="7" t="s">
        <v>85</v>
      </c>
      <c r="M199" s="11"/>
      <c r="N199" s="11" t="s">
        <v>31</v>
      </c>
      <c r="O199" s="7"/>
    </row>
    <row r="200" customFormat="false" ht="23.85" hidden="false" customHeight="false" outlineLevel="0" collapsed="false">
      <c r="A200" s="7" t="s">
        <v>967</v>
      </c>
      <c r="B200" s="8" t="s">
        <v>78</v>
      </c>
      <c r="C200" s="7" t="s">
        <v>41</v>
      </c>
      <c r="D200" s="7" t="s">
        <v>46</v>
      </c>
      <c r="E200" s="7" t="s">
        <v>968</v>
      </c>
      <c r="F200" s="9" t="s">
        <v>969</v>
      </c>
      <c r="G200" s="7" t="s">
        <v>168</v>
      </c>
      <c r="H200" s="7" t="s">
        <v>120</v>
      </c>
      <c r="I200" s="7" t="s">
        <v>970</v>
      </c>
      <c r="J200" s="10" t="s">
        <v>78</v>
      </c>
      <c r="K200" s="7" t="s">
        <v>84</v>
      </c>
      <c r="L200" s="7" t="s">
        <v>85</v>
      </c>
      <c r="M200" s="11"/>
      <c r="N200" s="11" t="s">
        <v>31</v>
      </c>
      <c r="O200" s="7"/>
    </row>
    <row r="201" customFormat="false" ht="15" hidden="false" customHeight="false" outlineLevel="0" collapsed="false">
      <c r="A201" s="7" t="s">
        <v>971</v>
      </c>
      <c r="B201" s="8" t="s">
        <v>78</v>
      </c>
      <c r="C201" s="7" t="s">
        <v>41</v>
      </c>
      <c r="D201" s="7" t="s">
        <v>49</v>
      </c>
      <c r="E201" s="7" t="s">
        <v>972</v>
      </c>
      <c r="F201" s="9" t="s">
        <v>973</v>
      </c>
      <c r="G201" s="7" t="s">
        <v>974</v>
      </c>
      <c r="H201" s="7" t="s">
        <v>120</v>
      </c>
      <c r="I201" s="7" t="s">
        <v>975</v>
      </c>
      <c r="J201" s="10" t="s">
        <v>78</v>
      </c>
      <c r="K201" s="7" t="s">
        <v>84</v>
      </c>
      <c r="L201" s="7" t="s">
        <v>85</v>
      </c>
      <c r="M201" s="11"/>
      <c r="N201" s="12" t="s">
        <v>30</v>
      </c>
      <c r="O201" s="7"/>
    </row>
    <row r="202" customFormat="false" ht="23.85" hidden="false" customHeight="false" outlineLevel="0" collapsed="false">
      <c r="A202" s="7" t="s">
        <v>976</v>
      </c>
      <c r="B202" s="8" t="s">
        <v>78</v>
      </c>
      <c r="C202" s="7" t="s">
        <v>41</v>
      </c>
      <c r="D202" s="7" t="s">
        <v>51</v>
      </c>
      <c r="E202" s="7" t="s">
        <v>977</v>
      </c>
      <c r="F202" s="9" t="s">
        <v>978</v>
      </c>
      <c r="G202" s="7" t="s">
        <v>81</v>
      </c>
      <c r="H202" s="7" t="s">
        <v>120</v>
      </c>
      <c r="I202" s="7" t="s">
        <v>303</v>
      </c>
      <c r="J202" s="13" t="s">
        <v>94</v>
      </c>
      <c r="K202" s="7" t="s">
        <v>84</v>
      </c>
      <c r="L202" s="7" t="s">
        <v>85</v>
      </c>
      <c r="M202" s="11"/>
      <c r="N202" s="12" t="s">
        <v>30</v>
      </c>
      <c r="O202" s="7"/>
    </row>
    <row r="203" customFormat="false" ht="15" hidden="false" customHeight="false" outlineLevel="0" collapsed="false">
      <c r="A203" s="7" t="s">
        <v>979</v>
      </c>
      <c r="B203" s="8" t="s">
        <v>78</v>
      </c>
      <c r="C203" s="7" t="s">
        <v>41</v>
      </c>
      <c r="D203" s="7" t="s">
        <v>51</v>
      </c>
      <c r="E203" s="7" t="s">
        <v>980</v>
      </c>
      <c r="F203" s="9" t="s">
        <v>981</v>
      </c>
      <c r="G203" s="7" t="s">
        <v>81</v>
      </c>
      <c r="H203" s="7" t="s">
        <v>120</v>
      </c>
      <c r="I203" s="7" t="s">
        <v>982</v>
      </c>
      <c r="J203" s="13" t="s">
        <v>94</v>
      </c>
      <c r="K203" s="7" t="s">
        <v>84</v>
      </c>
      <c r="L203" s="7" t="s">
        <v>85</v>
      </c>
      <c r="M203" s="11"/>
      <c r="N203" s="11" t="s">
        <v>31</v>
      </c>
      <c r="O203" s="7"/>
    </row>
    <row r="204" customFormat="false" ht="15" hidden="false" customHeight="false" outlineLevel="0" collapsed="false">
      <c r="A204" s="7" t="s">
        <v>983</v>
      </c>
      <c r="B204" s="8" t="s">
        <v>78</v>
      </c>
      <c r="C204" s="7" t="s">
        <v>43</v>
      </c>
      <c r="D204" s="7" t="s">
        <v>53</v>
      </c>
      <c r="E204" s="7" t="s">
        <v>984</v>
      </c>
      <c r="F204" s="9" t="s">
        <v>985</v>
      </c>
      <c r="G204" s="7" t="s">
        <v>326</v>
      </c>
      <c r="H204" s="7" t="s">
        <v>120</v>
      </c>
      <c r="I204" s="7" t="s">
        <v>481</v>
      </c>
      <c r="J204" s="14" t="s">
        <v>102</v>
      </c>
      <c r="K204" s="7" t="s">
        <v>84</v>
      </c>
      <c r="L204" s="7" t="s">
        <v>85</v>
      </c>
      <c r="M204" s="11"/>
      <c r="N204" s="11" t="s">
        <v>31</v>
      </c>
      <c r="O204" s="7"/>
    </row>
    <row r="205" customFormat="false" ht="15" hidden="false" customHeight="false" outlineLevel="0" collapsed="false">
      <c r="A205" s="7" t="s">
        <v>986</v>
      </c>
      <c r="B205" s="8" t="s">
        <v>78</v>
      </c>
      <c r="C205" s="7" t="s">
        <v>43</v>
      </c>
      <c r="D205" s="7" t="s">
        <v>53</v>
      </c>
      <c r="E205" s="7" t="s">
        <v>987</v>
      </c>
      <c r="F205" s="9" t="s">
        <v>988</v>
      </c>
      <c r="G205" s="7" t="s">
        <v>343</v>
      </c>
      <c r="H205" s="7" t="s">
        <v>120</v>
      </c>
      <c r="I205" s="7" t="s">
        <v>989</v>
      </c>
      <c r="J205" s="14" t="s">
        <v>102</v>
      </c>
      <c r="K205" s="7" t="s">
        <v>84</v>
      </c>
      <c r="L205" s="7" t="s">
        <v>95</v>
      </c>
      <c r="M205" s="11"/>
      <c r="N205" s="11" t="s">
        <v>31</v>
      </c>
      <c r="O205" s="7"/>
    </row>
    <row r="206" customFormat="false" ht="15" hidden="false" customHeight="false" outlineLevel="0" collapsed="false">
      <c r="A206" s="7" t="s">
        <v>990</v>
      </c>
      <c r="B206" s="8" t="s">
        <v>78</v>
      </c>
      <c r="C206" s="7" t="s">
        <v>43</v>
      </c>
      <c r="D206" s="7" t="s">
        <v>55</v>
      </c>
      <c r="E206" s="7" t="s">
        <v>991</v>
      </c>
      <c r="F206" s="9" t="s">
        <v>992</v>
      </c>
      <c r="G206" s="7" t="s">
        <v>81</v>
      </c>
      <c r="H206" s="7" t="s">
        <v>120</v>
      </c>
      <c r="I206" s="7" t="s">
        <v>993</v>
      </c>
      <c r="J206" s="13" t="s">
        <v>94</v>
      </c>
      <c r="K206" s="7" t="s">
        <v>84</v>
      </c>
      <c r="L206" s="7" t="s">
        <v>85</v>
      </c>
      <c r="M206" s="11"/>
      <c r="N206" s="12" t="s">
        <v>30</v>
      </c>
      <c r="O206" s="7"/>
    </row>
    <row r="207" customFormat="false" ht="15" hidden="false" customHeight="false" outlineLevel="0" collapsed="false">
      <c r="A207" s="7" t="s">
        <v>994</v>
      </c>
      <c r="B207" s="8" t="s">
        <v>78</v>
      </c>
      <c r="C207" s="7" t="s">
        <v>43</v>
      </c>
      <c r="D207" s="7" t="s">
        <v>55</v>
      </c>
      <c r="E207" s="7" t="s">
        <v>995</v>
      </c>
      <c r="F207" s="9" t="s">
        <v>996</v>
      </c>
      <c r="G207" s="7" t="s">
        <v>81</v>
      </c>
      <c r="H207" s="7" t="s">
        <v>120</v>
      </c>
      <c r="I207" s="7" t="s">
        <v>997</v>
      </c>
      <c r="J207" s="13" t="s">
        <v>94</v>
      </c>
      <c r="K207" s="7" t="s">
        <v>84</v>
      </c>
      <c r="L207" s="7" t="s">
        <v>85</v>
      </c>
      <c r="M207" s="11"/>
      <c r="N207" s="11" t="s">
        <v>31</v>
      </c>
      <c r="O207" s="7"/>
    </row>
    <row r="208" customFormat="false" ht="15" hidden="false" customHeight="false" outlineLevel="0" collapsed="false">
      <c r="A208" s="7" t="s">
        <v>998</v>
      </c>
      <c r="B208" s="8" t="s">
        <v>78</v>
      </c>
      <c r="C208" s="7" t="s">
        <v>43</v>
      </c>
      <c r="D208" s="7" t="s">
        <v>55</v>
      </c>
      <c r="E208" s="7" t="s">
        <v>375</v>
      </c>
      <c r="F208" s="9" t="s">
        <v>376</v>
      </c>
      <c r="G208" s="7" t="s">
        <v>107</v>
      </c>
      <c r="H208" s="7" t="s">
        <v>120</v>
      </c>
      <c r="I208" s="7"/>
      <c r="J208" s="13" t="s">
        <v>94</v>
      </c>
      <c r="K208" s="7" t="s">
        <v>84</v>
      </c>
      <c r="L208" s="7" t="s">
        <v>85</v>
      </c>
      <c r="M208" s="11"/>
      <c r="N208" s="11" t="s">
        <v>31</v>
      </c>
      <c r="O208" s="7"/>
    </row>
    <row r="209" customFormat="false" ht="15" hidden="false" customHeight="false" outlineLevel="0" collapsed="false">
      <c r="A209" s="15" t="s">
        <v>999</v>
      </c>
      <c r="B209" s="16" t="s">
        <v>174</v>
      </c>
      <c r="C209" s="15" t="s">
        <v>43</v>
      </c>
      <c r="D209" s="15" t="s">
        <v>378</v>
      </c>
      <c r="E209" s="15" t="s">
        <v>1000</v>
      </c>
      <c r="F209" s="17" t="s">
        <v>1001</v>
      </c>
      <c r="G209" s="15" t="s">
        <v>81</v>
      </c>
      <c r="H209" s="15" t="s">
        <v>120</v>
      </c>
      <c r="I209" s="15" t="s">
        <v>1002</v>
      </c>
      <c r="J209" s="13" t="s">
        <v>94</v>
      </c>
      <c r="K209" s="15" t="s">
        <v>179</v>
      </c>
      <c r="L209" s="15" t="s">
        <v>85</v>
      </c>
      <c r="M209" s="11"/>
      <c r="N209" s="12" t="s">
        <v>30</v>
      </c>
      <c r="O209" s="15"/>
    </row>
    <row r="210" customFormat="false" ht="15" hidden="false" customHeight="false" outlineLevel="0" collapsed="false">
      <c r="A210" s="15" t="s">
        <v>1003</v>
      </c>
      <c r="B210" s="16" t="s">
        <v>174</v>
      </c>
      <c r="C210" s="15" t="s">
        <v>43</v>
      </c>
      <c r="D210" s="15" t="s">
        <v>378</v>
      </c>
      <c r="E210" s="15" t="s">
        <v>1004</v>
      </c>
      <c r="F210" s="17" t="s">
        <v>1005</v>
      </c>
      <c r="G210" s="15" t="s">
        <v>168</v>
      </c>
      <c r="H210" s="15" t="s">
        <v>120</v>
      </c>
      <c r="I210" s="15" t="s">
        <v>1006</v>
      </c>
      <c r="J210" s="13" t="s">
        <v>94</v>
      </c>
      <c r="K210" s="15" t="s">
        <v>179</v>
      </c>
      <c r="L210" s="15" t="s">
        <v>85</v>
      </c>
      <c r="M210" s="11"/>
      <c r="N210" s="11" t="s">
        <v>31</v>
      </c>
      <c r="O210" s="15"/>
    </row>
    <row r="211" customFormat="false" ht="15" hidden="false" customHeight="false" outlineLevel="0" collapsed="false">
      <c r="A211" s="15" t="s">
        <v>1007</v>
      </c>
      <c r="B211" s="16" t="s">
        <v>174</v>
      </c>
      <c r="C211" s="15" t="s">
        <v>43</v>
      </c>
      <c r="D211" s="15" t="s">
        <v>378</v>
      </c>
      <c r="E211" s="15" t="s">
        <v>1008</v>
      </c>
      <c r="F211" s="17" t="s">
        <v>1009</v>
      </c>
      <c r="G211" s="15" t="s">
        <v>81</v>
      </c>
      <c r="H211" s="15" t="s">
        <v>120</v>
      </c>
      <c r="I211" s="15" t="s">
        <v>1010</v>
      </c>
      <c r="J211" s="14" t="s">
        <v>102</v>
      </c>
      <c r="K211" s="15" t="s">
        <v>179</v>
      </c>
      <c r="L211" s="15" t="s">
        <v>85</v>
      </c>
      <c r="M211" s="11"/>
      <c r="N211" s="11" t="s">
        <v>31</v>
      </c>
      <c r="O211" s="15"/>
    </row>
    <row r="212" customFormat="false" ht="15" hidden="false" customHeight="false" outlineLevel="0" collapsed="false">
      <c r="A212" s="15" t="s">
        <v>1011</v>
      </c>
      <c r="B212" s="16" t="s">
        <v>174</v>
      </c>
      <c r="C212" s="15" t="s">
        <v>43</v>
      </c>
      <c r="D212" s="15" t="s">
        <v>378</v>
      </c>
      <c r="E212" s="15" t="s">
        <v>1012</v>
      </c>
      <c r="F212" s="17" t="s">
        <v>1013</v>
      </c>
      <c r="G212" s="15" t="s">
        <v>81</v>
      </c>
      <c r="H212" s="15" t="s">
        <v>120</v>
      </c>
      <c r="I212" s="15" t="s">
        <v>1014</v>
      </c>
      <c r="J212" s="13" t="s">
        <v>94</v>
      </c>
      <c r="K212" s="15" t="s">
        <v>179</v>
      </c>
      <c r="L212" s="15" t="s">
        <v>85</v>
      </c>
      <c r="M212" s="11"/>
      <c r="N212" s="12" t="s">
        <v>30</v>
      </c>
      <c r="O212" s="15"/>
    </row>
    <row r="213" customFormat="false" ht="15" hidden="false" customHeight="false" outlineLevel="0" collapsed="false">
      <c r="A213" s="15" t="s">
        <v>1015</v>
      </c>
      <c r="B213" s="16" t="s">
        <v>174</v>
      </c>
      <c r="C213" s="15" t="s">
        <v>43</v>
      </c>
      <c r="D213" s="15" t="s">
        <v>378</v>
      </c>
      <c r="E213" s="15" t="s">
        <v>1016</v>
      </c>
      <c r="F213" s="17" t="s">
        <v>1017</v>
      </c>
      <c r="G213" s="15" t="s">
        <v>168</v>
      </c>
      <c r="H213" s="15" t="s">
        <v>120</v>
      </c>
      <c r="I213" s="15" t="s">
        <v>1018</v>
      </c>
      <c r="J213" s="10" t="s">
        <v>78</v>
      </c>
      <c r="K213" s="15" t="s">
        <v>179</v>
      </c>
      <c r="L213" s="15" t="s">
        <v>85</v>
      </c>
      <c r="M213" s="11"/>
      <c r="N213" s="11" t="s">
        <v>31</v>
      </c>
      <c r="O213" s="15"/>
    </row>
    <row r="214" customFormat="false" ht="15" hidden="false" customHeight="false" outlineLevel="0" collapsed="false">
      <c r="A214" s="7" t="s">
        <v>1019</v>
      </c>
      <c r="B214" s="8" t="s">
        <v>78</v>
      </c>
      <c r="C214" s="7" t="s">
        <v>45</v>
      </c>
      <c r="D214" s="7" t="s">
        <v>57</v>
      </c>
      <c r="E214" s="7" t="s">
        <v>1020</v>
      </c>
      <c r="F214" s="9" t="s">
        <v>1021</v>
      </c>
      <c r="G214" s="7" t="s">
        <v>412</v>
      </c>
      <c r="H214" s="7" t="s">
        <v>120</v>
      </c>
      <c r="I214" s="7" t="s">
        <v>303</v>
      </c>
      <c r="J214" s="14" t="s">
        <v>102</v>
      </c>
      <c r="K214" s="7" t="s">
        <v>84</v>
      </c>
      <c r="L214" s="7" t="s">
        <v>85</v>
      </c>
      <c r="M214" s="11"/>
      <c r="N214" s="12" t="s">
        <v>30</v>
      </c>
      <c r="O214" s="7"/>
    </row>
    <row r="215" customFormat="false" ht="15" hidden="false" customHeight="false" outlineLevel="0" collapsed="false">
      <c r="A215" s="7" t="s">
        <v>1022</v>
      </c>
      <c r="B215" s="8" t="s">
        <v>78</v>
      </c>
      <c r="C215" s="7" t="s">
        <v>45</v>
      </c>
      <c r="D215" s="7" t="s">
        <v>57</v>
      </c>
      <c r="E215" s="7" t="s">
        <v>1023</v>
      </c>
      <c r="F215" s="9" t="s">
        <v>1024</v>
      </c>
      <c r="G215" s="7" t="s">
        <v>1025</v>
      </c>
      <c r="H215" s="7" t="s">
        <v>120</v>
      </c>
      <c r="I215" s="7" t="s">
        <v>82</v>
      </c>
      <c r="J215" s="10" t="s">
        <v>78</v>
      </c>
      <c r="K215" s="7" t="s">
        <v>84</v>
      </c>
      <c r="L215" s="7" t="s">
        <v>85</v>
      </c>
      <c r="M215" s="11"/>
      <c r="N215" s="12" t="s">
        <v>30</v>
      </c>
      <c r="O215" s="7"/>
    </row>
    <row r="216" customFormat="false" ht="15" hidden="false" customHeight="false" outlineLevel="0" collapsed="false">
      <c r="A216" s="7" t="s">
        <v>1026</v>
      </c>
      <c r="B216" s="8" t="s">
        <v>78</v>
      </c>
      <c r="C216" s="7" t="s">
        <v>45</v>
      </c>
      <c r="D216" s="7" t="s">
        <v>57</v>
      </c>
      <c r="E216" s="7" t="s">
        <v>1027</v>
      </c>
      <c r="F216" s="9" t="s">
        <v>1028</v>
      </c>
      <c r="G216" s="7" t="s">
        <v>1025</v>
      </c>
      <c r="H216" s="7" t="s">
        <v>120</v>
      </c>
      <c r="I216" s="7" t="s">
        <v>82</v>
      </c>
      <c r="J216" s="10" t="s">
        <v>78</v>
      </c>
      <c r="K216" s="7" t="s">
        <v>84</v>
      </c>
      <c r="L216" s="7" t="s">
        <v>85</v>
      </c>
      <c r="M216" s="11"/>
      <c r="N216" s="11" t="s">
        <v>31</v>
      </c>
      <c r="O216" s="7"/>
    </row>
    <row r="217" customFormat="false" ht="15" hidden="false" customHeight="false" outlineLevel="0" collapsed="false">
      <c r="A217" s="7" t="s">
        <v>1029</v>
      </c>
      <c r="B217" s="8" t="s">
        <v>78</v>
      </c>
      <c r="C217" s="7" t="s">
        <v>45</v>
      </c>
      <c r="D217" s="7" t="s">
        <v>59</v>
      </c>
      <c r="E217" s="7" t="s">
        <v>1030</v>
      </c>
      <c r="F217" s="9" t="s">
        <v>1031</v>
      </c>
      <c r="G217" s="7" t="s">
        <v>451</v>
      </c>
      <c r="H217" s="7" t="s">
        <v>120</v>
      </c>
      <c r="I217" s="7" t="s">
        <v>1032</v>
      </c>
      <c r="J217" s="10" t="s">
        <v>78</v>
      </c>
      <c r="K217" s="7" t="s">
        <v>84</v>
      </c>
      <c r="L217" s="7" t="s">
        <v>85</v>
      </c>
      <c r="M217" s="11"/>
      <c r="N217" s="12" t="s">
        <v>30</v>
      </c>
      <c r="O217" s="7"/>
    </row>
    <row r="218" customFormat="false" ht="15" hidden="false" customHeight="false" outlineLevel="0" collapsed="false">
      <c r="A218" s="7" t="s">
        <v>1033</v>
      </c>
      <c r="B218" s="8" t="s">
        <v>78</v>
      </c>
      <c r="C218" s="7" t="s">
        <v>45</v>
      </c>
      <c r="D218" s="7" t="s">
        <v>59</v>
      </c>
      <c r="E218" s="7" t="s">
        <v>1034</v>
      </c>
      <c r="F218" s="9" t="s">
        <v>1035</v>
      </c>
      <c r="G218" s="7" t="s">
        <v>168</v>
      </c>
      <c r="H218" s="7" t="s">
        <v>120</v>
      </c>
      <c r="I218" s="7" t="s">
        <v>1036</v>
      </c>
      <c r="J218" s="10" t="s">
        <v>78</v>
      </c>
      <c r="K218" s="7" t="s">
        <v>84</v>
      </c>
      <c r="L218" s="7" t="s">
        <v>85</v>
      </c>
      <c r="M218" s="11"/>
      <c r="N218" s="11" t="s">
        <v>31</v>
      </c>
      <c r="O218" s="7"/>
    </row>
    <row r="219" customFormat="false" ht="15" hidden="false" customHeight="false" outlineLevel="0" collapsed="false">
      <c r="A219" s="7" t="s">
        <v>1037</v>
      </c>
      <c r="B219" s="8" t="s">
        <v>78</v>
      </c>
      <c r="C219" s="7" t="s">
        <v>45</v>
      </c>
      <c r="D219" s="7" t="s">
        <v>59</v>
      </c>
      <c r="E219" s="7" t="s">
        <v>1038</v>
      </c>
      <c r="F219" s="9" t="s">
        <v>1039</v>
      </c>
      <c r="G219" s="7" t="s">
        <v>439</v>
      </c>
      <c r="H219" s="7" t="s">
        <v>120</v>
      </c>
      <c r="I219" s="7" t="s">
        <v>303</v>
      </c>
      <c r="J219" s="13" t="s">
        <v>94</v>
      </c>
      <c r="K219" s="7" t="s">
        <v>84</v>
      </c>
      <c r="L219" s="7" t="s">
        <v>85</v>
      </c>
      <c r="M219" s="11"/>
      <c r="N219" s="11" t="s">
        <v>31</v>
      </c>
      <c r="O219" s="7"/>
    </row>
    <row r="220" customFormat="false" ht="15" hidden="false" customHeight="false" outlineLevel="0" collapsed="false">
      <c r="A220" s="15" t="s">
        <v>1040</v>
      </c>
      <c r="B220" s="16" t="s">
        <v>174</v>
      </c>
      <c r="C220" s="15" t="s">
        <v>45</v>
      </c>
      <c r="D220" s="15" t="s">
        <v>45</v>
      </c>
      <c r="E220" s="15" t="s">
        <v>1041</v>
      </c>
      <c r="F220" s="17" t="s">
        <v>1042</v>
      </c>
      <c r="G220" s="15" t="s">
        <v>1043</v>
      </c>
      <c r="H220" s="15" t="s">
        <v>120</v>
      </c>
      <c r="I220" s="15" t="s">
        <v>1044</v>
      </c>
      <c r="J220" s="10" t="s">
        <v>78</v>
      </c>
      <c r="K220" s="15" t="s">
        <v>179</v>
      </c>
      <c r="L220" s="15" t="s">
        <v>85</v>
      </c>
      <c r="M220" s="11"/>
      <c r="N220" s="11" t="s">
        <v>31</v>
      </c>
      <c r="O220" s="15"/>
    </row>
    <row r="221" customFormat="false" ht="15" hidden="false" customHeight="false" outlineLevel="0" collapsed="false">
      <c r="A221" s="7" t="s">
        <v>1045</v>
      </c>
      <c r="B221" s="8" t="s">
        <v>78</v>
      </c>
      <c r="C221" s="7" t="s">
        <v>48</v>
      </c>
      <c r="D221" s="7" t="s">
        <v>61</v>
      </c>
      <c r="E221" s="7" t="s">
        <v>1046</v>
      </c>
      <c r="F221" s="9" t="s">
        <v>1047</v>
      </c>
      <c r="G221" s="7" t="s">
        <v>480</v>
      </c>
      <c r="H221" s="7" t="s">
        <v>120</v>
      </c>
      <c r="I221" s="7" t="s">
        <v>1048</v>
      </c>
      <c r="J221" s="14" t="s">
        <v>102</v>
      </c>
      <c r="K221" s="7" t="s">
        <v>84</v>
      </c>
      <c r="L221" s="7" t="s">
        <v>85</v>
      </c>
      <c r="M221" s="11"/>
      <c r="N221" s="12" t="s">
        <v>30</v>
      </c>
      <c r="O221" s="7"/>
    </row>
    <row r="222" customFormat="false" ht="15" hidden="false" customHeight="false" outlineLevel="0" collapsed="false">
      <c r="A222" s="7" t="s">
        <v>1049</v>
      </c>
      <c r="B222" s="8" t="s">
        <v>78</v>
      </c>
      <c r="C222" s="7" t="s">
        <v>48</v>
      </c>
      <c r="D222" s="7" t="s">
        <v>61</v>
      </c>
      <c r="E222" s="7" t="s">
        <v>1050</v>
      </c>
      <c r="F222" s="9" t="s">
        <v>1051</v>
      </c>
      <c r="G222" s="7" t="s">
        <v>480</v>
      </c>
      <c r="H222" s="7" t="s">
        <v>120</v>
      </c>
      <c r="I222" s="7" t="s">
        <v>1052</v>
      </c>
      <c r="J222" s="14" t="s">
        <v>102</v>
      </c>
      <c r="K222" s="7" t="s">
        <v>84</v>
      </c>
      <c r="L222" s="7" t="s">
        <v>85</v>
      </c>
      <c r="M222" s="11"/>
      <c r="N222" s="12" t="s">
        <v>30</v>
      </c>
      <c r="O222" s="7"/>
    </row>
    <row r="223" customFormat="false" ht="15" hidden="false" customHeight="false" outlineLevel="0" collapsed="false">
      <c r="A223" s="7" t="s">
        <v>1053</v>
      </c>
      <c r="B223" s="8" t="s">
        <v>78</v>
      </c>
      <c r="C223" s="7" t="s">
        <v>48</v>
      </c>
      <c r="D223" s="7" t="s">
        <v>61</v>
      </c>
      <c r="E223" s="7" t="s">
        <v>1054</v>
      </c>
      <c r="F223" s="9" t="s">
        <v>1055</v>
      </c>
      <c r="G223" s="7" t="s">
        <v>480</v>
      </c>
      <c r="H223" s="7" t="s">
        <v>120</v>
      </c>
      <c r="I223" s="7" t="s">
        <v>1056</v>
      </c>
      <c r="J223" s="13" t="s">
        <v>94</v>
      </c>
      <c r="K223" s="7" t="s">
        <v>84</v>
      </c>
      <c r="L223" s="7" t="s">
        <v>85</v>
      </c>
      <c r="M223" s="11"/>
      <c r="N223" s="11" t="s">
        <v>31</v>
      </c>
      <c r="O223" s="7"/>
    </row>
    <row r="224" customFormat="false" ht="15" hidden="false" customHeight="false" outlineLevel="0" collapsed="false">
      <c r="A224" s="7" t="s">
        <v>1057</v>
      </c>
      <c r="B224" s="8" t="s">
        <v>78</v>
      </c>
      <c r="C224" s="7" t="s">
        <v>48</v>
      </c>
      <c r="D224" s="7" t="s">
        <v>61</v>
      </c>
      <c r="E224" s="7" t="s">
        <v>1058</v>
      </c>
      <c r="F224" s="9" t="s">
        <v>1059</v>
      </c>
      <c r="G224" s="7" t="s">
        <v>463</v>
      </c>
      <c r="H224" s="7" t="s">
        <v>120</v>
      </c>
      <c r="I224" s="7" t="s">
        <v>1060</v>
      </c>
      <c r="J224" s="10" t="s">
        <v>78</v>
      </c>
      <c r="K224" s="7" t="s">
        <v>84</v>
      </c>
      <c r="L224" s="7" t="s">
        <v>85</v>
      </c>
      <c r="M224" s="11"/>
      <c r="N224" s="11" t="s">
        <v>31</v>
      </c>
      <c r="O224" s="7"/>
    </row>
    <row r="225" customFormat="false" ht="15" hidden="false" customHeight="false" outlineLevel="0" collapsed="false">
      <c r="A225" s="7" t="s">
        <v>1061</v>
      </c>
      <c r="B225" s="8" t="s">
        <v>78</v>
      </c>
      <c r="C225" s="7" t="s">
        <v>48</v>
      </c>
      <c r="D225" s="7" t="s">
        <v>62</v>
      </c>
      <c r="E225" s="7" t="s">
        <v>1062</v>
      </c>
      <c r="F225" s="9" t="s">
        <v>1063</v>
      </c>
      <c r="G225" s="7" t="s">
        <v>518</v>
      </c>
      <c r="H225" s="7" t="s">
        <v>120</v>
      </c>
      <c r="I225" s="7" t="s">
        <v>1064</v>
      </c>
      <c r="J225" s="10" t="s">
        <v>78</v>
      </c>
      <c r="K225" s="7" t="s">
        <v>84</v>
      </c>
      <c r="L225" s="7" t="s">
        <v>85</v>
      </c>
      <c r="M225" s="11"/>
      <c r="N225" s="12" t="s">
        <v>30</v>
      </c>
      <c r="O225" s="7"/>
    </row>
    <row r="226" customFormat="false" ht="15" hidden="false" customHeight="false" outlineLevel="0" collapsed="false">
      <c r="A226" s="7" t="s">
        <v>1065</v>
      </c>
      <c r="B226" s="8" t="s">
        <v>78</v>
      </c>
      <c r="C226" s="7" t="s">
        <v>48</v>
      </c>
      <c r="D226" s="7" t="s">
        <v>62</v>
      </c>
      <c r="E226" s="7" t="s">
        <v>1066</v>
      </c>
      <c r="F226" s="9" t="s">
        <v>1067</v>
      </c>
      <c r="G226" s="7" t="s">
        <v>518</v>
      </c>
      <c r="H226" s="7" t="s">
        <v>120</v>
      </c>
      <c r="I226" s="7" t="s">
        <v>1068</v>
      </c>
      <c r="J226" s="10" t="s">
        <v>78</v>
      </c>
      <c r="K226" s="7" t="s">
        <v>84</v>
      </c>
      <c r="L226" s="7" t="s">
        <v>85</v>
      </c>
      <c r="M226" s="11"/>
      <c r="N226" s="11" t="s">
        <v>31</v>
      </c>
      <c r="O226" s="7"/>
    </row>
    <row r="227" customFormat="false" ht="15" hidden="false" customHeight="false" outlineLevel="0" collapsed="false">
      <c r="A227" s="7" t="s">
        <v>1069</v>
      </c>
      <c r="B227" s="8" t="s">
        <v>78</v>
      </c>
      <c r="C227" s="7" t="s">
        <v>48</v>
      </c>
      <c r="D227" s="7" t="s">
        <v>62</v>
      </c>
      <c r="E227" s="7" t="s">
        <v>1070</v>
      </c>
      <c r="F227" s="9" t="s">
        <v>1071</v>
      </c>
      <c r="G227" s="7" t="s">
        <v>518</v>
      </c>
      <c r="H227" s="7" t="s">
        <v>120</v>
      </c>
      <c r="I227" s="7"/>
      <c r="J227" s="13" t="s">
        <v>94</v>
      </c>
      <c r="K227" s="7" t="s">
        <v>84</v>
      </c>
      <c r="L227" s="7" t="s">
        <v>85</v>
      </c>
      <c r="M227" s="11"/>
      <c r="N227" s="11" t="s">
        <v>31</v>
      </c>
      <c r="O227" s="7"/>
    </row>
    <row r="228" customFormat="false" ht="23.85" hidden="false" customHeight="false" outlineLevel="0" collapsed="false">
      <c r="A228" s="15" t="s">
        <v>1072</v>
      </c>
      <c r="B228" s="16" t="s">
        <v>174</v>
      </c>
      <c r="C228" s="15" t="s">
        <v>48</v>
      </c>
      <c r="D228" s="15" t="s">
        <v>537</v>
      </c>
      <c r="E228" s="15" t="s">
        <v>1073</v>
      </c>
      <c r="F228" s="17" t="s">
        <v>1074</v>
      </c>
      <c r="G228" s="15" t="s">
        <v>168</v>
      </c>
      <c r="H228" s="15" t="s">
        <v>120</v>
      </c>
      <c r="I228" s="15" t="s">
        <v>1075</v>
      </c>
      <c r="J228" s="10" t="s">
        <v>78</v>
      </c>
      <c r="K228" s="15" t="s">
        <v>179</v>
      </c>
      <c r="L228" s="15" t="s">
        <v>85</v>
      </c>
      <c r="M228" s="11"/>
      <c r="N228" s="11" t="s">
        <v>31</v>
      </c>
      <c r="O228" s="15"/>
    </row>
    <row r="229" customFormat="false" ht="15" hidden="false" customHeight="false" outlineLevel="0" collapsed="false">
      <c r="A229" s="21" t="s">
        <v>1076</v>
      </c>
      <c r="B229" s="22" t="s">
        <v>94</v>
      </c>
      <c r="C229" s="21" t="s">
        <v>50</v>
      </c>
      <c r="D229" s="21" t="s">
        <v>63</v>
      </c>
      <c r="E229" s="21" t="s">
        <v>1077</v>
      </c>
      <c r="F229" s="23" t="s">
        <v>1078</v>
      </c>
      <c r="G229" s="21" t="s">
        <v>168</v>
      </c>
      <c r="H229" s="21" t="s">
        <v>120</v>
      </c>
      <c r="I229" s="21" t="s">
        <v>1079</v>
      </c>
      <c r="J229" s="10" t="s">
        <v>78</v>
      </c>
      <c r="K229" s="21" t="s">
        <v>557</v>
      </c>
      <c r="L229" s="21" t="s">
        <v>85</v>
      </c>
      <c r="M229" s="11"/>
      <c r="N229" s="12" t="s">
        <v>30</v>
      </c>
      <c r="O229" s="21"/>
    </row>
    <row r="230" customFormat="false" ht="15" hidden="false" customHeight="false" outlineLevel="0" collapsed="false">
      <c r="A230" s="21" t="s">
        <v>1080</v>
      </c>
      <c r="B230" s="22" t="s">
        <v>94</v>
      </c>
      <c r="C230" s="21" t="s">
        <v>50</v>
      </c>
      <c r="D230" s="21" t="s">
        <v>63</v>
      </c>
      <c r="E230" s="21" t="s">
        <v>1081</v>
      </c>
      <c r="F230" s="23" t="s">
        <v>1082</v>
      </c>
      <c r="G230" s="21" t="s">
        <v>168</v>
      </c>
      <c r="H230" s="21" t="s">
        <v>120</v>
      </c>
      <c r="I230" s="21" t="s">
        <v>1083</v>
      </c>
      <c r="J230" s="10" t="s">
        <v>78</v>
      </c>
      <c r="K230" s="21" t="s">
        <v>557</v>
      </c>
      <c r="L230" s="21" t="s">
        <v>85</v>
      </c>
      <c r="M230" s="11"/>
      <c r="N230" s="11" t="s">
        <v>31</v>
      </c>
      <c r="O230" s="21"/>
    </row>
    <row r="231" customFormat="false" ht="15" hidden="false" customHeight="false" outlineLevel="0" collapsed="false">
      <c r="A231" s="21" t="s">
        <v>1084</v>
      </c>
      <c r="B231" s="22" t="s">
        <v>94</v>
      </c>
      <c r="C231" s="21" t="s">
        <v>50</v>
      </c>
      <c r="D231" s="21" t="s">
        <v>63</v>
      </c>
      <c r="E231" s="21" t="s">
        <v>1085</v>
      </c>
      <c r="F231" s="23" t="s">
        <v>1086</v>
      </c>
      <c r="G231" s="21" t="s">
        <v>1087</v>
      </c>
      <c r="H231" s="21" t="s">
        <v>120</v>
      </c>
      <c r="I231" s="21" t="s">
        <v>1088</v>
      </c>
      <c r="J231" s="10" t="s">
        <v>78</v>
      </c>
      <c r="K231" s="21" t="s">
        <v>557</v>
      </c>
      <c r="L231" s="21" t="s">
        <v>85</v>
      </c>
      <c r="M231" s="11"/>
      <c r="N231" s="11" t="s">
        <v>31</v>
      </c>
      <c r="O231" s="21"/>
    </row>
    <row r="232" customFormat="false" ht="15" hidden="false" customHeight="false" outlineLevel="0" collapsed="false">
      <c r="A232" s="21" t="s">
        <v>1089</v>
      </c>
      <c r="B232" s="22" t="s">
        <v>94</v>
      </c>
      <c r="C232" s="21" t="s">
        <v>50</v>
      </c>
      <c r="D232" s="21" t="s">
        <v>63</v>
      </c>
      <c r="E232" s="21" t="s">
        <v>1090</v>
      </c>
      <c r="F232" s="23" t="s">
        <v>1091</v>
      </c>
      <c r="G232" s="21" t="s">
        <v>183</v>
      </c>
      <c r="H232" s="21" t="s">
        <v>120</v>
      </c>
      <c r="I232" s="21" t="s">
        <v>556</v>
      </c>
      <c r="J232" s="10" t="s">
        <v>78</v>
      </c>
      <c r="K232" s="21" t="s">
        <v>557</v>
      </c>
      <c r="L232" s="21" t="s">
        <v>85</v>
      </c>
      <c r="M232" s="11"/>
      <c r="N232" s="11" t="s">
        <v>31</v>
      </c>
      <c r="O232" s="21"/>
    </row>
    <row r="233" customFormat="false" ht="15" hidden="false" customHeight="false" outlineLevel="0" collapsed="false">
      <c r="A233" s="21" t="s">
        <v>1092</v>
      </c>
      <c r="B233" s="22" t="s">
        <v>94</v>
      </c>
      <c r="C233" s="21" t="s">
        <v>50</v>
      </c>
      <c r="D233" s="21" t="s">
        <v>1093</v>
      </c>
      <c r="E233" s="21" t="s">
        <v>1094</v>
      </c>
      <c r="F233" s="23" t="s">
        <v>1095</v>
      </c>
      <c r="G233" s="21" t="s">
        <v>1096</v>
      </c>
      <c r="H233" s="21" t="s">
        <v>120</v>
      </c>
      <c r="I233" s="21" t="s">
        <v>1097</v>
      </c>
      <c r="J233" s="10" t="s">
        <v>78</v>
      </c>
      <c r="K233" s="21" t="s">
        <v>557</v>
      </c>
      <c r="L233" s="21" t="s">
        <v>85</v>
      </c>
      <c r="M233" s="11"/>
      <c r="N233" s="12" t="s">
        <v>30</v>
      </c>
      <c r="O233" s="21"/>
    </row>
    <row r="234" customFormat="false" ht="15" hidden="false" customHeight="false" outlineLevel="0" collapsed="false">
      <c r="A234" s="21" t="s">
        <v>1098</v>
      </c>
      <c r="B234" s="22" t="s">
        <v>94</v>
      </c>
      <c r="C234" s="21" t="s">
        <v>50</v>
      </c>
      <c r="D234" s="21" t="s">
        <v>1093</v>
      </c>
      <c r="E234" s="21" t="s">
        <v>1099</v>
      </c>
      <c r="F234" s="23" t="s">
        <v>1100</v>
      </c>
      <c r="G234" s="21" t="s">
        <v>1096</v>
      </c>
      <c r="H234" s="21" t="s">
        <v>120</v>
      </c>
      <c r="I234" s="21" t="s">
        <v>1101</v>
      </c>
      <c r="J234" s="10" t="s">
        <v>78</v>
      </c>
      <c r="K234" s="21" t="s">
        <v>557</v>
      </c>
      <c r="L234" s="21" t="s">
        <v>85</v>
      </c>
      <c r="M234" s="11"/>
      <c r="N234" s="11" t="s">
        <v>31</v>
      </c>
      <c r="O234" s="21"/>
    </row>
    <row r="235" customFormat="false" ht="15" hidden="false" customHeight="false" outlineLevel="0" collapsed="false">
      <c r="A235" s="21" t="s">
        <v>1102</v>
      </c>
      <c r="B235" s="22" t="s">
        <v>94</v>
      </c>
      <c r="C235" s="21" t="s">
        <v>50</v>
      </c>
      <c r="D235" s="21" t="s">
        <v>590</v>
      </c>
      <c r="E235" s="21" t="s">
        <v>1103</v>
      </c>
      <c r="F235" s="23" t="s">
        <v>1104</v>
      </c>
      <c r="G235" s="21" t="s">
        <v>599</v>
      </c>
      <c r="H235" s="21" t="s">
        <v>120</v>
      </c>
      <c r="I235" s="21" t="s">
        <v>506</v>
      </c>
      <c r="J235" s="10" t="s">
        <v>78</v>
      </c>
      <c r="K235" s="21" t="s">
        <v>557</v>
      </c>
      <c r="L235" s="21" t="s">
        <v>85</v>
      </c>
      <c r="M235" s="11"/>
      <c r="N235" s="12" t="s">
        <v>30</v>
      </c>
      <c r="O235" s="21"/>
    </row>
    <row r="236" customFormat="false" ht="23.85" hidden="false" customHeight="false" outlineLevel="0" collapsed="false">
      <c r="A236" s="21" t="s">
        <v>1105</v>
      </c>
      <c r="B236" s="22" t="s">
        <v>94</v>
      </c>
      <c r="C236" s="21" t="s">
        <v>50</v>
      </c>
      <c r="D236" s="21" t="s">
        <v>590</v>
      </c>
      <c r="E236" s="21" t="s">
        <v>1106</v>
      </c>
      <c r="F236" s="23" t="s">
        <v>1107</v>
      </c>
      <c r="G236" s="21" t="s">
        <v>593</v>
      </c>
      <c r="H236" s="21" t="s">
        <v>120</v>
      </c>
      <c r="I236" s="21" t="s">
        <v>1108</v>
      </c>
      <c r="J236" s="10" t="s">
        <v>78</v>
      </c>
      <c r="K236" s="21" t="s">
        <v>557</v>
      </c>
      <c r="L236" s="21" t="s">
        <v>85</v>
      </c>
      <c r="M236" s="11"/>
      <c r="N236" s="11" t="s">
        <v>31</v>
      </c>
      <c r="O236" s="21"/>
    </row>
    <row r="237" customFormat="false" ht="15" hidden="false" customHeight="false" outlineLevel="0" collapsed="false">
      <c r="A237" s="21" t="s">
        <v>1109</v>
      </c>
      <c r="B237" s="22" t="s">
        <v>94</v>
      </c>
      <c r="C237" s="21" t="s">
        <v>50</v>
      </c>
      <c r="D237" s="21" t="s">
        <v>590</v>
      </c>
      <c r="E237" s="21" t="s">
        <v>1110</v>
      </c>
      <c r="F237" s="23" t="s">
        <v>1111</v>
      </c>
      <c r="G237" s="21" t="s">
        <v>593</v>
      </c>
      <c r="H237" s="21" t="s">
        <v>120</v>
      </c>
      <c r="I237" s="21" t="s">
        <v>1112</v>
      </c>
      <c r="J237" s="10" t="s">
        <v>78</v>
      </c>
      <c r="K237" s="21" t="s">
        <v>557</v>
      </c>
      <c r="L237" s="21" t="s">
        <v>85</v>
      </c>
      <c r="M237" s="11"/>
      <c r="N237" s="11" t="s">
        <v>31</v>
      </c>
      <c r="O237" s="21"/>
    </row>
    <row r="238" customFormat="false" ht="15" hidden="false" customHeight="false" outlineLevel="0" collapsed="false">
      <c r="A238" s="21" t="s">
        <v>1113</v>
      </c>
      <c r="B238" s="22" t="s">
        <v>94</v>
      </c>
      <c r="C238" s="21" t="s">
        <v>50</v>
      </c>
      <c r="D238" s="21" t="s">
        <v>609</v>
      </c>
      <c r="E238" s="21" t="s">
        <v>1114</v>
      </c>
      <c r="F238" s="23" t="s">
        <v>1115</v>
      </c>
      <c r="G238" s="21" t="s">
        <v>612</v>
      </c>
      <c r="H238" s="21" t="s">
        <v>120</v>
      </c>
      <c r="I238" s="21"/>
      <c r="J238" s="10" t="s">
        <v>78</v>
      </c>
      <c r="K238" s="21" t="s">
        <v>557</v>
      </c>
      <c r="L238" s="21" t="s">
        <v>85</v>
      </c>
      <c r="M238" s="11"/>
      <c r="N238" s="11" t="s">
        <v>31</v>
      </c>
      <c r="O238" s="21"/>
    </row>
    <row r="239" customFormat="false" ht="15" hidden="false" customHeight="false" outlineLevel="0" collapsed="false">
      <c r="A239" s="21" t="s">
        <v>1116</v>
      </c>
      <c r="B239" s="22" t="s">
        <v>94</v>
      </c>
      <c r="C239" s="21" t="s">
        <v>50</v>
      </c>
      <c r="D239" s="21" t="s">
        <v>617</v>
      </c>
      <c r="E239" s="21" t="s">
        <v>1117</v>
      </c>
      <c r="F239" s="23" t="s">
        <v>1118</v>
      </c>
      <c r="G239" s="21" t="s">
        <v>168</v>
      </c>
      <c r="H239" s="21" t="s">
        <v>120</v>
      </c>
      <c r="I239" s="21" t="s">
        <v>1119</v>
      </c>
      <c r="J239" s="10" t="s">
        <v>78</v>
      </c>
      <c r="K239" s="21" t="s">
        <v>557</v>
      </c>
      <c r="L239" s="21" t="s">
        <v>85</v>
      </c>
      <c r="M239" s="11"/>
      <c r="N239" s="12" t="s">
        <v>30</v>
      </c>
      <c r="O239" s="21"/>
    </row>
    <row r="240" customFormat="false" ht="15" hidden="false" customHeight="false" outlineLevel="0" collapsed="false">
      <c r="A240" s="21" t="s">
        <v>1120</v>
      </c>
      <c r="B240" s="22" t="s">
        <v>94</v>
      </c>
      <c r="C240" s="21" t="s">
        <v>50</v>
      </c>
      <c r="D240" s="21" t="s">
        <v>617</v>
      </c>
      <c r="E240" s="21" t="s">
        <v>1121</v>
      </c>
      <c r="F240" s="23" t="s">
        <v>1122</v>
      </c>
      <c r="G240" s="21" t="s">
        <v>168</v>
      </c>
      <c r="H240" s="21" t="s">
        <v>120</v>
      </c>
      <c r="I240" s="21" t="s">
        <v>1123</v>
      </c>
      <c r="J240" s="10" t="s">
        <v>78</v>
      </c>
      <c r="K240" s="21" t="s">
        <v>557</v>
      </c>
      <c r="L240" s="21" t="s">
        <v>85</v>
      </c>
      <c r="M240" s="11"/>
      <c r="N240" s="11" t="s">
        <v>31</v>
      </c>
      <c r="O240" s="21"/>
    </row>
    <row r="241" customFormat="false" ht="15" hidden="false" customHeight="false" outlineLevel="0" collapsed="false">
      <c r="A241" s="21" t="s">
        <v>1124</v>
      </c>
      <c r="B241" s="22" t="s">
        <v>94</v>
      </c>
      <c r="C241" s="21" t="s">
        <v>52</v>
      </c>
      <c r="D241" s="21" t="s">
        <v>64</v>
      </c>
      <c r="E241" s="21" t="s">
        <v>1125</v>
      </c>
      <c r="F241" s="23" t="s">
        <v>1126</v>
      </c>
      <c r="G241" s="21" t="s">
        <v>168</v>
      </c>
      <c r="H241" s="21" t="s">
        <v>120</v>
      </c>
      <c r="I241" s="21"/>
      <c r="J241" s="10" t="s">
        <v>78</v>
      </c>
      <c r="K241" s="21" t="s">
        <v>557</v>
      </c>
      <c r="L241" s="21" t="s">
        <v>85</v>
      </c>
      <c r="M241" s="11"/>
      <c r="N241" s="11" t="s">
        <v>31</v>
      </c>
      <c r="O241" s="21"/>
    </row>
    <row r="242" customFormat="false" ht="15" hidden="false" customHeight="false" outlineLevel="0" collapsed="false">
      <c r="A242" s="21" t="s">
        <v>1127</v>
      </c>
      <c r="B242" s="22" t="s">
        <v>94</v>
      </c>
      <c r="C242" s="21" t="s">
        <v>52</v>
      </c>
      <c r="D242" s="21" t="s">
        <v>64</v>
      </c>
      <c r="E242" s="21" t="s">
        <v>1128</v>
      </c>
      <c r="F242" s="23" t="s">
        <v>1129</v>
      </c>
      <c r="G242" s="21" t="s">
        <v>168</v>
      </c>
      <c r="H242" s="21" t="s">
        <v>120</v>
      </c>
      <c r="I242" s="21"/>
      <c r="J242" s="10" t="s">
        <v>78</v>
      </c>
      <c r="K242" s="21" t="s">
        <v>557</v>
      </c>
      <c r="L242" s="21" t="s">
        <v>85</v>
      </c>
      <c r="M242" s="11"/>
      <c r="N242" s="11" t="s">
        <v>31</v>
      </c>
      <c r="O242" s="21"/>
    </row>
    <row r="243" customFormat="false" ht="15" hidden="false" customHeight="false" outlineLevel="0" collapsed="false">
      <c r="A243" s="21" t="s">
        <v>1130</v>
      </c>
      <c r="B243" s="22" t="s">
        <v>94</v>
      </c>
      <c r="C243" s="21" t="s">
        <v>52</v>
      </c>
      <c r="D243" s="21" t="s">
        <v>64</v>
      </c>
      <c r="E243" s="21" t="s">
        <v>1131</v>
      </c>
      <c r="F243" s="23" t="s">
        <v>1132</v>
      </c>
      <c r="G243" s="21" t="s">
        <v>168</v>
      </c>
      <c r="H243" s="21" t="s">
        <v>120</v>
      </c>
      <c r="I243" s="21" t="s">
        <v>1133</v>
      </c>
      <c r="J243" s="10" t="s">
        <v>78</v>
      </c>
      <c r="K243" s="21" t="s">
        <v>557</v>
      </c>
      <c r="L243" s="21" t="s">
        <v>85</v>
      </c>
      <c r="M243" s="11"/>
      <c r="N243" s="12" t="s">
        <v>30</v>
      </c>
      <c r="O243" s="21"/>
    </row>
    <row r="244" customFormat="false" ht="15" hidden="false" customHeight="false" outlineLevel="0" collapsed="false">
      <c r="A244" s="21" t="s">
        <v>1134</v>
      </c>
      <c r="B244" s="22" t="s">
        <v>94</v>
      </c>
      <c r="C244" s="21" t="s">
        <v>52</v>
      </c>
      <c r="D244" s="21" t="s">
        <v>64</v>
      </c>
      <c r="E244" s="21" t="s">
        <v>1135</v>
      </c>
      <c r="F244" s="23" t="s">
        <v>1136</v>
      </c>
      <c r="G244" s="21" t="s">
        <v>168</v>
      </c>
      <c r="H244" s="21" t="s">
        <v>120</v>
      </c>
      <c r="I244" s="21"/>
      <c r="J244" s="10" t="s">
        <v>78</v>
      </c>
      <c r="K244" s="21" t="s">
        <v>557</v>
      </c>
      <c r="L244" s="21" t="s">
        <v>85</v>
      </c>
      <c r="M244" s="11"/>
      <c r="N244" s="11" t="s">
        <v>31</v>
      </c>
      <c r="O244" s="21"/>
    </row>
    <row r="245" customFormat="false" ht="15" hidden="false" customHeight="false" outlineLevel="0" collapsed="false">
      <c r="A245" s="21" t="s">
        <v>1137</v>
      </c>
      <c r="B245" s="22" t="s">
        <v>94</v>
      </c>
      <c r="C245" s="21" t="s">
        <v>52</v>
      </c>
      <c r="D245" s="21" t="s">
        <v>64</v>
      </c>
      <c r="E245" s="21" t="s">
        <v>1138</v>
      </c>
      <c r="F245" s="23" t="s">
        <v>1139</v>
      </c>
      <c r="G245" s="21" t="s">
        <v>168</v>
      </c>
      <c r="H245" s="21" t="s">
        <v>120</v>
      </c>
      <c r="I245" s="21" t="s">
        <v>1140</v>
      </c>
      <c r="J245" s="13" t="s">
        <v>94</v>
      </c>
      <c r="K245" s="21" t="s">
        <v>557</v>
      </c>
      <c r="L245" s="21" t="s">
        <v>85</v>
      </c>
      <c r="M245" s="11"/>
      <c r="N245" s="11" t="s">
        <v>31</v>
      </c>
      <c r="O245" s="21" t="s">
        <v>1141</v>
      </c>
    </row>
    <row r="246" customFormat="false" ht="15" hidden="false" customHeight="false" outlineLevel="0" collapsed="false">
      <c r="A246" s="21" t="s">
        <v>1142</v>
      </c>
      <c r="B246" s="22" t="s">
        <v>94</v>
      </c>
      <c r="C246" s="21" t="s">
        <v>52</v>
      </c>
      <c r="D246" s="21" t="s">
        <v>64</v>
      </c>
      <c r="E246" s="21" t="s">
        <v>1143</v>
      </c>
      <c r="F246" s="23" t="s">
        <v>1144</v>
      </c>
      <c r="G246" s="21" t="s">
        <v>168</v>
      </c>
      <c r="H246" s="21" t="s">
        <v>120</v>
      </c>
      <c r="I246" s="21" t="s">
        <v>1145</v>
      </c>
      <c r="J246" s="14" t="s">
        <v>102</v>
      </c>
      <c r="K246" s="21" t="s">
        <v>557</v>
      </c>
      <c r="L246" s="21" t="s">
        <v>85</v>
      </c>
      <c r="M246" s="11"/>
      <c r="N246" s="11" t="s">
        <v>31</v>
      </c>
      <c r="O246" s="21" t="s">
        <v>253</v>
      </c>
    </row>
    <row r="247" customFormat="false" ht="15" hidden="false" customHeight="false" outlineLevel="0" collapsed="false">
      <c r="A247" s="21" t="s">
        <v>1146</v>
      </c>
      <c r="B247" s="22" t="s">
        <v>94</v>
      </c>
      <c r="C247" s="21" t="s">
        <v>52</v>
      </c>
      <c r="D247" s="21" t="s">
        <v>64</v>
      </c>
      <c r="E247" s="21" t="s">
        <v>1147</v>
      </c>
      <c r="F247" s="23" t="s">
        <v>1148</v>
      </c>
      <c r="G247" s="21" t="s">
        <v>168</v>
      </c>
      <c r="H247" s="21" t="s">
        <v>120</v>
      </c>
      <c r="I247" s="21" t="s">
        <v>1149</v>
      </c>
      <c r="J247" s="13" t="s">
        <v>94</v>
      </c>
      <c r="K247" s="21" t="s">
        <v>557</v>
      </c>
      <c r="L247" s="21" t="s">
        <v>85</v>
      </c>
      <c r="M247" s="11"/>
      <c r="N247" s="11" t="s">
        <v>31</v>
      </c>
      <c r="O247" s="21"/>
    </row>
    <row r="248" customFormat="false" ht="15" hidden="false" customHeight="false" outlineLevel="0" collapsed="false">
      <c r="A248" s="21" t="s">
        <v>1150</v>
      </c>
      <c r="B248" s="22" t="s">
        <v>94</v>
      </c>
      <c r="C248" s="21" t="s">
        <v>52</v>
      </c>
      <c r="D248" s="21" t="s">
        <v>64</v>
      </c>
      <c r="E248" s="21" t="s">
        <v>1151</v>
      </c>
      <c r="F248" s="23" t="s">
        <v>1152</v>
      </c>
      <c r="G248" s="21" t="s">
        <v>168</v>
      </c>
      <c r="H248" s="21" t="s">
        <v>120</v>
      </c>
      <c r="I248" s="21"/>
      <c r="J248" s="10" t="s">
        <v>78</v>
      </c>
      <c r="K248" s="21" t="s">
        <v>557</v>
      </c>
      <c r="L248" s="21" t="s">
        <v>85</v>
      </c>
      <c r="M248" s="11"/>
      <c r="N248" s="11" t="s">
        <v>31</v>
      </c>
      <c r="O248" s="21"/>
    </row>
    <row r="249" customFormat="false" ht="15" hidden="false" customHeight="false" outlineLevel="0" collapsed="false">
      <c r="A249" s="21" t="s">
        <v>1153</v>
      </c>
      <c r="B249" s="22" t="s">
        <v>94</v>
      </c>
      <c r="C249" s="21" t="s">
        <v>52</v>
      </c>
      <c r="D249" s="21" t="s">
        <v>64</v>
      </c>
      <c r="E249" s="21" t="s">
        <v>1154</v>
      </c>
      <c r="F249" s="23" t="s">
        <v>1155</v>
      </c>
      <c r="G249" s="21" t="s">
        <v>168</v>
      </c>
      <c r="H249" s="21" t="s">
        <v>120</v>
      </c>
      <c r="I249" s="21" t="s">
        <v>1156</v>
      </c>
      <c r="J249" s="13" t="s">
        <v>94</v>
      </c>
      <c r="K249" s="21" t="s">
        <v>557</v>
      </c>
      <c r="L249" s="21" t="s">
        <v>85</v>
      </c>
      <c r="M249" s="11"/>
      <c r="N249" s="11" t="s">
        <v>31</v>
      </c>
      <c r="O249" s="21"/>
    </row>
    <row r="250" customFormat="false" ht="15" hidden="false" customHeight="false" outlineLevel="0" collapsed="false">
      <c r="A250" s="21" t="s">
        <v>1157</v>
      </c>
      <c r="B250" s="22" t="s">
        <v>94</v>
      </c>
      <c r="C250" s="21" t="s">
        <v>54</v>
      </c>
      <c r="D250" s="21" t="s">
        <v>65</v>
      </c>
      <c r="E250" s="21" t="s">
        <v>1158</v>
      </c>
      <c r="F250" s="23" t="s">
        <v>1159</v>
      </c>
      <c r="G250" s="21" t="s">
        <v>684</v>
      </c>
      <c r="H250" s="21" t="s">
        <v>120</v>
      </c>
      <c r="I250" s="21" t="s">
        <v>1160</v>
      </c>
      <c r="J250" s="14" t="s">
        <v>102</v>
      </c>
      <c r="K250" s="21" t="s">
        <v>557</v>
      </c>
      <c r="L250" s="21" t="s">
        <v>95</v>
      </c>
      <c r="M250" s="11"/>
      <c r="N250" s="11" t="s">
        <v>31</v>
      </c>
      <c r="O250" s="21"/>
    </row>
    <row r="251" customFormat="false" ht="15" hidden="false" customHeight="false" outlineLevel="0" collapsed="false">
      <c r="A251" s="21" t="s">
        <v>1161</v>
      </c>
      <c r="B251" s="22" t="s">
        <v>94</v>
      </c>
      <c r="C251" s="21" t="s">
        <v>54</v>
      </c>
      <c r="D251" s="21" t="s">
        <v>65</v>
      </c>
      <c r="E251" s="21" t="s">
        <v>1162</v>
      </c>
      <c r="F251" s="23" t="s">
        <v>1163</v>
      </c>
      <c r="G251" s="21" t="s">
        <v>684</v>
      </c>
      <c r="H251" s="21" t="s">
        <v>120</v>
      </c>
      <c r="I251" s="21" t="s">
        <v>1164</v>
      </c>
      <c r="J251" s="14" t="s">
        <v>102</v>
      </c>
      <c r="K251" s="21" t="s">
        <v>557</v>
      </c>
      <c r="L251" s="21" t="s">
        <v>85</v>
      </c>
      <c r="M251" s="11"/>
      <c r="N251" s="11" t="s">
        <v>31</v>
      </c>
      <c r="O251" s="21"/>
    </row>
    <row r="252" customFormat="false" ht="15" hidden="false" customHeight="false" outlineLevel="0" collapsed="false">
      <c r="A252" s="21" t="s">
        <v>1165</v>
      </c>
      <c r="B252" s="22" t="s">
        <v>94</v>
      </c>
      <c r="C252" s="21" t="s">
        <v>54</v>
      </c>
      <c r="D252" s="21" t="s">
        <v>65</v>
      </c>
      <c r="E252" s="21" t="s">
        <v>1166</v>
      </c>
      <c r="F252" s="23" t="s">
        <v>1167</v>
      </c>
      <c r="G252" s="21" t="s">
        <v>684</v>
      </c>
      <c r="H252" s="21" t="s">
        <v>120</v>
      </c>
      <c r="I252" s="21"/>
      <c r="J252" s="14" t="s">
        <v>102</v>
      </c>
      <c r="K252" s="21" t="s">
        <v>557</v>
      </c>
      <c r="L252" s="21" t="s">
        <v>85</v>
      </c>
      <c r="M252" s="11"/>
      <c r="N252" s="11" t="s">
        <v>31</v>
      </c>
      <c r="O252" s="21"/>
    </row>
    <row r="253" customFormat="false" ht="15" hidden="false" customHeight="false" outlineLevel="0" collapsed="false">
      <c r="A253" s="21" t="s">
        <v>1168</v>
      </c>
      <c r="B253" s="22" t="s">
        <v>94</v>
      </c>
      <c r="C253" s="21" t="s">
        <v>54</v>
      </c>
      <c r="D253" s="21" t="s">
        <v>66</v>
      </c>
      <c r="E253" s="21" t="s">
        <v>1169</v>
      </c>
      <c r="F253" s="23" t="s">
        <v>1170</v>
      </c>
      <c r="G253" s="21" t="s">
        <v>168</v>
      </c>
      <c r="H253" s="21" t="s">
        <v>120</v>
      </c>
      <c r="I253" s="21" t="s">
        <v>1171</v>
      </c>
      <c r="J253" s="13" t="s">
        <v>94</v>
      </c>
      <c r="K253" s="21" t="s">
        <v>557</v>
      </c>
      <c r="L253" s="21" t="s">
        <v>85</v>
      </c>
      <c r="M253" s="11"/>
      <c r="N253" s="12" t="s">
        <v>30</v>
      </c>
      <c r="O253" s="21"/>
    </row>
    <row r="254" customFormat="false" ht="15" hidden="false" customHeight="false" outlineLevel="0" collapsed="false">
      <c r="A254" s="21" t="s">
        <v>1172</v>
      </c>
      <c r="B254" s="22" t="s">
        <v>94</v>
      </c>
      <c r="C254" s="21" t="s">
        <v>54</v>
      </c>
      <c r="D254" s="21" t="s">
        <v>66</v>
      </c>
      <c r="E254" s="21" t="s">
        <v>1173</v>
      </c>
      <c r="F254" s="23" t="s">
        <v>1174</v>
      </c>
      <c r="G254" s="21" t="s">
        <v>168</v>
      </c>
      <c r="H254" s="21" t="s">
        <v>120</v>
      </c>
      <c r="I254" s="21"/>
      <c r="J254" s="10" t="s">
        <v>78</v>
      </c>
      <c r="K254" s="21" t="s">
        <v>557</v>
      </c>
      <c r="L254" s="21" t="s">
        <v>85</v>
      </c>
      <c r="M254" s="11"/>
      <c r="N254" s="11" t="s">
        <v>31</v>
      </c>
      <c r="O254" s="21"/>
    </row>
    <row r="255" customFormat="false" ht="15" hidden="false" customHeight="false" outlineLevel="0" collapsed="false">
      <c r="A255" s="21" t="s">
        <v>1175</v>
      </c>
      <c r="B255" s="22" t="s">
        <v>94</v>
      </c>
      <c r="C255" s="21" t="s">
        <v>54</v>
      </c>
      <c r="D255" s="21" t="s">
        <v>66</v>
      </c>
      <c r="E255" s="21" t="s">
        <v>1176</v>
      </c>
      <c r="F255" s="23" t="s">
        <v>1177</v>
      </c>
      <c r="G255" s="21" t="s">
        <v>168</v>
      </c>
      <c r="H255" s="21" t="s">
        <v>120</v>
      </c>
      <c r="I255" s="21" t="s">
        <v>1178</v>
      </c>
      <c r="J255" s="10" t="s">
        <v>78</v>
      </c>
      <c r="K255" s="21" t="s">
        <v>557</v>
      </c>
      <c r="L255" s="21" t="s">
        <v>85</v>
      </c>
      <c r="M255" s="11"/>
      <c r="N255" s="11" t="s">
        <v>31</v>
      </c>
      <c r="O255" s="21"/>
    </row>
    <row r="256" customFormat="false" ht="15" hidden="false" customHeight="false" outlineLevel="0" collapsed="false">
      <c r="A256" s="21" t="s">
        <v>1179</v>
      </c>
      <c r="B256" s="22" t="s">
        <v>94</v>
      </c>
      <c r="C256" s="21" t="s">
        <v>54</v>
      </c>
      <c r="D256" s="21" t="s">
        <v>726</v>
      </c>
      <c r="E256" s="21" t="s">
        <v>1180</v>
      </c>
      <c r="F256" s="23" t="s">
        <v>1181</v>
      </c>
      <c r="G256" s="21" t="s">
        <v>168</v>
      </c>
      <c r="H256" s="21" t="s">
        <v>120</v>
      </c>
      <c r="I256" s="21" t="s">
        <v>1182</v>
      </c>
      <c r="J256" s="13" t="s">
        <v>94</v>
      </c>
      <c r="K256" s="21" t="s">
        <v>557</v>
      </c>
      <c r="L256" s="21" t="s">
        <v>85</v>
      </c>
      <c r="M256" s="11"/>
      <c r="N256" s="11" t="s">
        <v>31</v>
      </c>
      <c r="O256" s="21"/>
    </row>
    <row r="257" customFormat="false" ht="15" hidden="false" customHeight="false" outlineLevel="0" collapsed="false">
      <c r="A257" s="21" t="s">
        <v>1183</v>
      </c>
      <c r="B257" s="22" t="s">
        <v>94</v>
      </c>
      <c r="C257" s="21" t="s">
        <v>56</v>
      </c>
      <c r="D257" s="21" t="s">
        <v>736</v>
      </c>
      <c r="E257" s="21" t="s">
        <v>1184</v>
      </c>
      <c r="F257" s="23" t="s">
        <v>1185</v>
      </c>
      <c r="G257" s="21" t="s">
        <v>168</v>
      </c>
      <c r="H257" s="21" t="s">
        <v>120</v>
      </c>
      <c r="I257" s="21" t="s">
        <v>1186</v>
      </c>
      <c r="J257" s="10" t="s">
        <v>78</v>
      </c>
      <c r="K257" s="21" t="s">
        <v>557</v>
      </c>
      <c r="L257" s="21" t="s">
        <v>85</v>
      </c>
      <c r="M257" s="11"/>
      <c r="N257" s="12" t="s">
        <v>30</v>
      </c>
      <c r="O257" s="21"/>
    </row>
    <row r="258" customFormat="false" ht="15" hidden="false" customHeight="false" outlineLevel="0" collapsed="false">
      <c r="A258" s="21" t="s">
        <v>1187</v>
      </c>
      <c r="B258" s="22" t="s">
        <v>94</v>
      </c>
      <c r="C258" s="21" t="s">
        <v>56</v>
      </c>
      <c r="D258" s="21" t="s">
        <v>736</v>
      </c>
      <c r="E258" s="21" t="s">
        <v>1188</v>
      </c>
      <c r="F258" s="23" t="s">
        <v>1189</v>
      </c>
      <c r="G258" s="21" t="s">
        <v>183</v>
      </c>
      <c r="H258" s="21" t="s">
        <v>120</v>
      </c>
      <c r="I258" s="21" t="s">
        <v>1190</v>
      </c>
      <c r="J258" s="13" t="s">
        <v>94</v>
      </c>
      <c r="K258" s="21" t="s">
        <v>557</v>
      </c>
      <c r="L258" s="21" t="s">
        <v>85</v>
      </c>
      <c r="M258" s="11"/>
      <c r="N258" s="11" t="s">
        <v>31</v>
      </c>
      <c r="O258" s="21"/>
    </row>
    <row r="259" customFormat="false" ht="15" hidden="false" customHeight="false" outlineLevel="0" collapsed="false">
      <c r="A259" s="21" t="s">
        <v>1191</v>
      </c>
      <c r="B259" s="22" t="s">
        <v>94</v>
      </c>
      <c r="C259" s="21" t="s">
        <v>56</v>
      </c>
      <c r="D259" s="21" t="s">
        <v>736</v>
      </c>
      <c r="E259" s="21" t="s">
        <v>1192</v>
      </c>
      <c r="F259" s="23" t="s">
        <v>1193</v>
      </c>
      <c r="G259" s="21" t="s">
        <v>1194</v>
      </c>
      <c r="H259" s="21" t="s">
        <v>120</v>
      </c>
      <c r="I259" s="21" t="s">
        <v>1195</v>
      </c>
      <c r="J259" s="10" t="s">
        <v>78</v>
      </c>
      <c r="K259" s="21" t="s">
        <v>557</v>
      </c>
      <c r="L259" s="21" t="s">
        <v>85</v>
      </c>
      <c r="M259" s="11"/>
      <c r="N259" s="12" t="s">
        <v>30</v>
      </c>
      <c r="O259" s="21"/>
    </row>
    <row r="260" customFormat="false" ht="15" hidden="false" customHeight="false" outlineLevel="0" collapsed="false">
      <c r="A260" s="21" t="s">
        <v>1196</v>
      </c>
      <c r="B260" s="22" t="s">
        <v>94</v>
      </c>
      <c r="C260" s="21" t="s">
        <v>56</v>
      </c>
      <c r="D260" s="21" t="s">
        <v>736</v>
      </c>
      <c r="E260" s="21" t="s">
        <v>1197</v>
      </c>
      <c r="F260" s="23" t="s">
        <v>1198</v>
      </c>
      <c r="G260" s="21" t="s">
        <v>168</v>
      </c>
      <c r="H260" s="21" t="s">
        <v>120</v>
      </c>
      <c r="I260" s="21" t="s">
        <v>1199</v>
      </c>
      <c r="J260" s="10" t="s">
        <v>78</v>
      </c>
      <c r="K260" s="21" t="s">
        <v>557</v>
      </c>
      <c r="L260" s="21" t="s">
        <v>85</v>
      </c>
      <c r="M260" s="11"/>
      <c r="N260" s="11" t="s">
        <v>31</v>
      </c>
      <c r="O260" s="21"/>
    </row>
  </sheetData>
  <autoFilter ref="A1:O260"/>
  <dataValidations count="5">
    <dataValidation allowBlank="false" errorStyle="stop" operator="between" showDropDown="false" showErrorMessage="false" showInputMessage="false" sqref="B2:B500" type="list">
      <formula1>"A,B,R,T,P"</formula1>
      <formula2>0</formula2>
    </dataValidation>
    <dataValidation allowBlank="false" errorStyle="stop" operator="between" showDropDown="false" showErrorMessage="false" showInputMessage="false" sqref="J2:J500" type="list">
      <formula1>"A,B,C"</formula1>
      <formula2>0</formula2>
    </dataValidation>
    <dataValidation allowBlank="false" errorStyle="stop" operator="between" showDropDown="false" showErrorMessage="false" showInputMessage="false" sqref="K2:K500" type="list">
      <formula1>"İç gündem + Türkiye,Türkiye'ye bakış,Bölgesel,Türk perspektifi,Premium bağlam"</formula1>
      <formula2>0</formula2>
    </dataValidation>
    <dataValidation allowBlank="false" errorStyle="stop" operator="between" showDropDown="false" showErrorMessage="false" showInputMessage="false" sqref="L2:L500" type="list">
      <formula1>"RSS,GNews,Scraping,Gmail"</formula1>
      <formula2>0</formula2>
    </dataValidation>
    <dataValidation allowBlank="false" errorStyle="stop" operator="between" showDropDown="false" showErrorMessage="false" showInputMessage="false" sqref="N2:N500" type="list">
      <formula1>"Çekirdek,Aktif,Kontrol et,Pasif,Çıkarıldı"</formula1>
      <formula2>0</formula2>
    </dataValidation>
  </dataValidations>
  <hyperlinks>
    <hyperlink ref="F2" r:id="rId1" display="https://www.enabbaladi.net"/>
    <hyperlink ref="F3" r:id="rId2" display="https://www.syria.tv"/>
    <hyperlink ref="F4" r:id="rId3" display="https://sana.sy"/>
    <hyperlink ref="F5" r:id="rId4" display="https://syriadirect.org"/>
    <hyperlink ref="F6" r:id="rId5" display="https://npasyria.com"/>
    <hyperlink ref="F7" r:id="rId6" display="https://jusoor.co"/>
    <hyperlink ref="F8" r:id="rId7" display="https://omranstudies.org"/>
    <hyperlink ref="F9" r:id="rId8" display="https://www.syriahr.com"/>
    <hyperlink ref="F10" r:id="rId9" display="https://www.rudaw.net"/>
    <hyperlink ref="F11" r:id="rId10" display="https://www.kurdistan24.net"/>
    <hyperlink ref="F12" r:id="rId11" display="https://shafaq.com"/>
    <hyperlink ref="F13" r:id="rId12" display="https://almadapaper.net"/>
    <hyperlink ref="F14" r:id="rId13" display="https://ina.iq"/>
    <hyperlink ref="F15" r:id="rId14" display="https://964media.com"/>
    <hyperlink ref="F16" r:id="rId15" display="https://www.alsumaria.tv"/>
    <hyperlink ref="F17" r:id="rId16" display="https://www.iraqoilreport.com"/>
    <hyperlink ref="F18" r:id="rId17" display="https://www.almodon.com"/>
    <hyperlink ref="F19" r:id="rId18" display="https://today.lorientlejour.com"/>
    <hyperlink ref="F20" r:id="rId19" display="https://www.timesofisrael.com"/>
    <hyperlink ref="F21" r:id="rId20" display="https://www.haaretz.com"/>
    <hyperlink ref="F22" r:id="rId21" display="https://www.jpost.com"/>
    <hyperlink ref="F23" r:id="rId22" display="https://www.ynetnews.com"/>
    <hyperlink ref="F24" r:id="rId23" display="https://www.israelhayom.com"/>
    <hyperlink ref="F25" r:id="rId24" display="https://www.inss.org.il"/>
    <hyperlink ref="F26" r:id="rId25" display="https://www.i24news.tv"/>
    <hyperlink ref="F27" r:id="rId26" display="https://www.ekathimerini.com"/>
    <hyperlink ref="F28" r:id="rId27" display="https://www.tovima.com"/>
    <hyperlink ref="F29" r:id="rId28" display="https://www.protothema.gr"/>
    <hyperlink ref="F30" r:id="rId29" display="https://www.naftemporiki.gr"/>
    <hyperlink ref="F31" r:id="rId30" display="https://www.ertnews.gr"/>
    <hyperlink ref="F32" r:id="rId31" display="https://www.eliamep.gr"/>
    <hyperlink ref="F33" r:id="rId32" display="https://greekcitytimes.com"/>
    <hyperlink ref="F34" r:id="rId33" display="https://cyprus-mail.com"/>
    <hyperlink ref="F35" r:id="rId34" display="https://www.philenews.com"/>
    <hyperlink ref="F36" r:id="rId35" display="https://politis.com.cy"/>
    <hyperlink ref="F37" r:id="rId36" display="https://www.cna.org.cy"/>
    <hyperlink ref="F38" r:id="rId37" display="https://in-cyprus.philenews.com"/>
    <hyperlink ref="F39" r:id="rId38" display="https://www.kibrispostasi.com"/>
    <hyperlink ref="F40" r:id="rId39" display="https://www.madamasr.com"/>
    <hyperlink ref="F41" r:id="rId40" display="https://english.ahram.org.eg"/>
    <hyperlink ref="F42" r:id="rId41" display="https://www.almasryalyoum.com"/>
    <hyperlink ref="F43" r:id="rId42" display="https://www.egyptindependent.com"/>
    <hyperlink ref="F44" r:id="rId43" display="https://www.dailynewsegypt.com"/>
    <hyperlink ref="F45" r:id="rId44" display="https://ecss.com.eg"/>
    <hyperlink ref="F46" r:id="rId45" display="https://libyaobserver.ly"/>
    <hyperlink ref="F47" r:id="rId46" display="https://libyaherald.com"/>
    <hyperlink ref="F48" r:id="rId47" display="https://en.irna.ir"/>
    <hyperlink ref="F49" r:id="rId48" display="https://www.tasnimnews.com"/>
    <hyperlink ref="F50" r:id="rId49" display="https://www.isna.ir"/>
    <hyperlink ref="F51" r:id="rId50" display="https://www.iranintl.com"/>
    <hyperlink ref="F52" r:id="rId51" display="https://iranwire.com"/>
    <hyperlink ref="F53" r:id="rId52" display="https://www.sharghdaily.com"/>
    <hyperlink ref="F54" r:id="rId53" display="https://www.tehrantimes.com"/>
    <hyperlink ref="F55" r:id="rId54" display="https://amwaj.media"/>
    <hyperlink ref="F56" r:id="rId55" display="https://aawsat.com"/>
    <hyperlink ref="F57" r:id="rId56" display="https://www.arabnews.com"/>
    <hyperlink ref="F58" r:id="rId57" display="https://www.alarabiya.net"/>
    <hyperlink ref="F59" r:id="rId58" display="https://www.spa.gov.sa"/>
    <hyperlink ref="F60" r:id="rId59" display="https://www.okaz.com.sa"/>
    <hyperlink ref="F61" r:id="rId60" display="https://www.grc.net"/>
    <hyperlink ref="F62" r:id="rId61" display="https://www.aljazeera.com"/>
    <hyperlink ref="F63" r:id="rId62" display="https://www.thenationalnews.com"/>
    <hyperlink ref="F64" r:id="rId63" display="https://www.alaraby.co.uk"/>
    <hyperlink ref="F65" r:id="rId64" display="https://www.middleeasteye.net"/>
    <hyperlink ref="F66" r:id="rId65" display="https://www.al-monitor.com"/>
    <hyperlink ref="F67" r:id="rId66" display="https://www.mei.edu"/>
    <hyperlink ref="F68" r:id="rId67" display="https://apa.az"/>
    <hyperlink ref="F69" r:id="rId68" display="https://report.az"/>
    <hyperlink ref="F70" r:id="rId69" display="https://turan.az"/>
    <hyperlink ref="F71" r:id="rId70" display="https://azertag.az"/>
    <hyperlink ref="F72" r:id="rId71" display="https://caliber.az"/>
    <hyperlink ref="F73" r:id="rId72" display="https://www.trend.az"/>
    <hyperlink ref="F74" r:id="rId73" display="https://www.civilnet.am"/>
    <hyperlink ref="F75" r:id="rId74" display="https://armenpress.am"/>
    <hyperlink ref="F76" r:id="rId75" display="https://news.am"/>
    <hyperlink ref="F77" r:id="rId76" display="https://evnreport.com"/>
    <hyperlink ref="F78" r:id="rId77" display="https://hetq.am"/>
    <hyperlink ref="F79" r:id="rId78" display="https://www.azatutyun.am"/>
    <hyperlink ref="F80" r:id="rId79" display="https://jam-news.net"/>
    <hyperlink ref="F81" r:id="rId80" display="https://oc-media.org"/>
    <hyperlink ref="F82" r:id="rId81" display="https://caucasuswatch.de"/>
    <hyperlink ref="F83" r:id="rId82" display="https://eurasianet.org"/>
    <hyperlink ref="F84" r:id="rId83" display="https://tass.com"/>
    <hyperlink ref="F85" r:id="rId84" display="https://ria.ru"/>
    <hyperlink ref="F86" r:id="rId85" display="https://www.kommersant.ru"/>
    <hyperlink ref="F87" r:id="rId86" display="https://meduza.io"/>
    <hyperlink ref="F88" r:id="rId87" display="https://www.themoscowtimes.com"/>
    <hyperlink ref="F89" r:id="rId88" display="https://www.rbc.ru"/>
    <hyperlink ref="F90" r:id="rId89" display="https://carnegieendowment.org/russia-eurasia"/>
    <hyperlink ref="F91" r:id="rId90" display="https://www.ng.ru"/>
    <hyperlink ref="F92" r:id="rId91" display="https://kyivindependent.com"/>
    <hyperlink ref="F93" r:id="rId92" display="https://www.pravda.com.ua"/>
    <hyperlink ref="F94" r:id="rId93" display="https://www.eurointegration.com.ua"/>
    <hyperlink ref="F95" r:id="rId94" display="https://www.ukrinform.net"/>
    <hyperlink ref="F96" r:id="rId95" display="https://suspilne.media"/>
    <hyperlink ref="F97" r:id="rId96" display="https://lb.ua"/>
    <hyperlink ref="F98" r:id="rId97" display="https://www.rferl.org"/>
    <hyperlink ref="F99" r:id="rId98" display="https://www.romania-insider.com"/>
    <hyperlink ref="F100" r:id="rId99" display="https://www.blackseanews.net"/>
    <hyperlink ref="F101" r:id="rId100" display="https://www.politico.eu"/>
    <hyperlink ref="F102" r:id="rId101" display="https://www.euractiv.com"/>
    <hyperlink ref="F103" r:id="rId102" display="https://www.euronews.com"/>
    <hyperlink ref="F104" r:id="rId103" display="https://euobserver.com"/>
    <hyperlink ref="F105" r:id="rId104" display="https://www.europarl.europa.eu/news"/>
    <hyperlink ref="F106" r:id="rId105" display="https://ec.europa.eu/commission/presscorner"/>
    <hyperlink ref="F107" r:id="rId106" display="https://ecfr.eu"/>
    <hyperlink ref="F108" r:id="rId107" display="https://carnegieeurope.eu"/>
    <hyperlink ref="F109" r:id="rId108" display="https://www.ceps.eu"/>
    <hyperlink ref="F110" r:id="rId109" display="https://www.dw.com"/>
    <hyperlink ref="F111" r:id="rId110" display="https://www.spiegel.de"/>
    <hyperlink ref="F112" r:id="rId111" display="https://www.faz.net"/>
    <hyperlink ref="F113" r:id="rId112" display="https://www.swp-berlin.org"/>
    <hyperlink ref="F114" r:id="rId113" display="https://www.lemonde.fr"/>
    <hyperlink ref="F115" r:id="rId114" display="https://www.ifri.org"/>
    <hyperlink ref="F116" r:id="rId115" display="https://www.theguardian.com"/>
    <hyperlink ref="F117" r:id="rId116" display="https://www.chathamhouse.org"/>
    <hyperlink ref="F118" r:id="rId117" display="https://www.bbc.com/turkce"/>
    <hyperlink ref="F119" r:id="rId118" display="https://www.nytimes.com"/>
    <hyperlink ref="F120" r:id="rId119" display="https://www.washingtonpost.com"/>
    <hyperlink ref="F121" r:id="rId120" display="https://www.politico.com"/>
    <hyperlink ref="F122" r:id="rId121" display="https://www.axios.com"/>
    <hyperlink ref="F123" r:id="rId122" display="https://www.state.gov/press-briefings"/>
    <hyperlink ref="F124" r:id="rId123" display="https://crsreports.congress.gov"/>
    <hyperlink ref="F125" r:id="rId124" display="https://www.atlanticcouncil.org/programs/atlantic-council-in-turkey/"/>
    <hyperlink ref="F126" r:id="rId125" display="https://www.washingtoninstitute.org"/>
    <hyperlink ref="F127" r:id="rId126" display="https://www.csis.org"/>
    <hyperlink ref="F128" r:id="rId127" display="https://www.brookings.edu"/>
    <hyperlink ref="F129" r:id="rId128" display="https://www.gmfus.org"/>
    <hyperlink ref="F130" r:id="rId129" display="https://www.hudson.org"/>
    <hyperlink ref="F131" r:id="rId130" display="https://warontherocks.com"/>
    <hyperlink ref="F132" r:id="rId131" display="https://www.globaltimes.cn"/>
    <hyperlink ref="F133" r:id="rId132" display="https://english.news.cn"/>
    <hyperlink ref="F134" r:id="rId133" display="https://www.scmp.com"/>
    <hyperlink ref="F135" r:id="rId134" display="https://www.chinadaily.com.cn"/>
    <hyperlink ref="F136" r:id="rId135" display="https://www.caixinglobal.com"/>
    <hyperlink ref="F137" r:id="rId136" display="https://thediplomat.com"/>
    <hyperlink ref="F138" r:id="rId137" display="https://merics.org"/>
    <hyperlink ref="F139" r:id="rId138" display="https://www.thehindu.com"/>
    <hyperlink ref="F140" r:id="rId139" display="https://indianexpress.com"/>
    <hyperlink ref="F141" r:id="rId140" display="https://theprint.in"/>
    <hyperlink ref="F142" r:id="rId141" display="https://www.hindustantimes.com"/>
    <hyperlink ref="F143" r:id="rId142" display="https://www.orfonline.org"/>
    <hyperlink ref="F144" r:id="rId143" display="https://www.wionews.com"/>
    <hyperlink ref="F145" r:id="rId144" display="https://www.dawn.com"/>
    <hyperlink ref="F146" r:id="rId145" display="https://asia.nikkei.com"/>
    <hyperlink ref="F147" r:id="rId146" display="https://www.theafricareport.com"/>
    <hyperlink ref="F148" r:id="rId147" display="https://africanarguments.org"/>
    <hyperlink ref="F149" r:id="rId148" display="https://www.jeuneafrique.com"/>
    <hyperlink ref="F150" r:id="rId149" display="https://issafrica.org"/>
    <hyperlink ref="F151" r:id="rId150" display="https://www.theeastafrican.co.ke"/>
    <hyperlink ref="F152" r:id="rId151" display="https://www.hiiraan.com"/>
    <hyperlink ref="F153" r:id="rId152" display="https://www.garoweonline.com"/>
    <hyperlink ref="F154" r:id="rId153" display="https://addisstandard.com"/>
    <hyperlink ref="F155" r:id="rId154" display="https://sudantribune.com"/>
    <hyperlink ref="F156" r:id="rId155" display="https://www.premiumtimesng.com"/>
    <hyperlink ref="F157" r:id="rId156" display="https://www.tsa-algerie.com"/>
    <hyperlink ref="F158" r:id="rId157" display="https://www.seneweb.com"/>
    <hyperlink ref="F159" r:id="rId158" display="https://www.aa.com.tr"/>
    <hyperlink ref="F160" r:id="rId159" display="https://www.mfa.gov.tr"/>
    <hyperlink ref="F161" r:id="rId160" display="https://www.msb.gov.tr"/>
    <hyperlink ref="F162" r:id="rId161" display="https://www.trtworld.com"/>
    <hyperlink ref="F163" r:id="rId162" display="https://www.orsam.org.tr"/>
    <hyperlink ref="F164" r:id="rId163" display="https://www.setav.org"/>
    <hyperlink ref="F165" r:id="rId164" display="https://edam.org.tr"/>
    <hyperlink ref="F166" r:id="rId165" display="https://www.tepav.org.tr"/>
    <hyperlink ref="F167" r:id="rId166" display="https://www.uikpanorama.com"/>
    <hyperlink ref="F168" r:id="rId167" display="https://www.deik.org.tr"/>
    <hyperlink ref="F169" r:id="rId168" display="https://www.reuters.com"/>
    <hyperlink ref="F170" r:id="rId169" display="https://apnews.com"/>
    <hyperlink ref="F171" r:id="rId170" display="https://www.ft.com"/>
    <hyperlink ref="F172" r:id="rId171" display="https://www.bloomberg.com"/>
    <hyperlink ref="F173" r:id="rId172" display="https://www.wsj.com"/>
    <hyperlink ref="F174" r:id="rId173" display="https://www.economist.com"/>
    <hyperlink ref="F175" r:id="rId174" display="https://www.foreignaffairs.com"/>
    <hyperlink ref="F176" r:id="rId175" display="https://foreignpolicy.com"/>
    <hyperlink ref="F177" r:id="rId176" display="https://www.crisisgroup.org"/>
    <hyperlink ref="F178" r:id="rId177" display="https://iramcenter.org"/>
    <hyperlink ref="F179" r:id="rId178" display="https://avim.org.tr"/>
    <hyperlink ref="F180" r:id="rId179" display="https://www.ikv.org.tr"/>
    <hyperlink ref="F181" r:id="rId180" display="https://sam.gov.tr"/>
    <hyperlink ref="F182" r:id="rId181" display="https://www.sde.org.tr"/>
    <hyperlink ref="F183" r:id="rId182" display="https://tasam.org"/>
    <hyperlink ref="F184" r:id="rId183" display="https://istanpol.org"/>
    <hyperlink ref="F185" r:id="rId184" display="https://apm.org.tr"/>
    <hyperlink ref="F186" r:id="rId185" display="https://afam.org.tr"/>
    <hyperlink ref="F187" r:id="rId186" display="https://ordaf.org"/>
    <hyperlink ref="F188" r:id="rId187" display="https://www.gmfus.org/ankara"/>
    <hyperlink ref="F189" r:id="rId188" display="https://www.bayancenter.org"/>
    <hyperlink ref="F190" r:id="rId189" display="https://www.rudaw.net/english/analysis"/>
    <hyperlink ref="F191" r:id="rId190" display="https://www.harmoon.org"/>
    <hyperlink ref="F192" r:id="rId191" display="https://coar-global.org"/>
    <hyperlink ref="F193" r:id="rId192" display="https://carnegie-mec.org"/>
    <hyperlink ref="F194" r:id="rId193" display="https://www.arab-reform.net"/>
    <hyperlink ref="F195" r:id="rId194" display="https://besacenter.org"/>
    <hyperlink ref="F196" r:id="rId195" display="https://dayan.org"/>
    <hyperlink ref="F197" r:id="rId196" display="https://jcpa.org"/>
    <hyperlink ref="F198" r:id="rId197" display="https://mitvim.org.il"/>
    <hyperlink ref="F199" r:id="rId198" display="https://idis.gr"/>
    <hyperlink ref="F200" r:id="rId199" display="https://www.lse.ac.uk/Hellenic-Observatory"/>
    <hyperlink ref="F201" r:id="rId200" display="https://cyprus.prio.org"/>
    <hyperlink ref="F202" r:id="rId201" display="https://acpss.ahram.org.eg"/>
    <hyperlink ref="F203" r:id="rId202" display="https://en.eipss-eg.org"/>
    <hyperlink ref="F204" r:id="rId203" display="https://www.ipis.ir"/>
    <hyperlink ref="F205" r:id="rId204" display="https://www.csr.ir"/>
    <hyperlink ref="F206" r:id="rId205" display="https://www.kfcris.com"/>
    <hyperlink ref="F207" r:id="rId206" display="https://rasanah-iiis.org"/>
    <hyperlink ref="F208" r:id="rId207" display="https://www.grc.net"/>
    <hyperlink ref="F209" r:id="rId208" display="https://studies.aljazeera.net"/>
    <hyperlink ref="F210" r:id="rId209" display="https://arabcenterdc.org"/>
    <hyperlink ref="F211" r:id="rId210" display="https://trendsresearch.org"/>
    <hyperlink ref="F212" r:id="rId211" display="https://epc.ae"/>
    <hyperlink ref="F213" r:id="rId212" display="https://agsiw.org"/>
    <hyperlink ref="F214" r:id="rId213" display="https://aircenter.az"/>
    <hyperlink ref="F215" r:id="rId214" display="https://top-center.org"/>
    <hyperlink ref="F216" r:id="rId215" display="https://bakuresearchinstitute.org"/>
    <hyperlink ref="F217" r:id="rId216" display="https://apri.institute"/>
    <hyperlink ref="F218" r:id="rId217" display="https://regional-studies.org"/>
    <hyperlink ref="F219" r:id="rId218" display="https://orbeli.am"/>
    <hyperlink ref="F220" r:id="rId219" display="https://gip.ge"/>
    <hyperlink ref="F221" r:id="rId220" display="https://russiancouncil.ru"/>
    <hyperlink ref="F222" r:id="rId221" display="https://valdaiclub.com"/>
    <hyperlink ref="F223" r:id="rId222" display="https://www.imemo.ru"/>
    <hyperlink ref="F224" r:id="rId223" display="https://ridl.io"/>
    <hyperlink ref="F225" r:id="rId224" display="https://neweurope.org.ua"/>
    <hyperlink ref="F226" r:id="rId225" display="https://prismua.org"/>
    <hyperlink ref="F227" r:id="rId226" display="https://uifuture.org"/>
    <hyperlink ref="F228" r:id="rId227" display="https://cepa.org"/>
    <hyperlink ref="F229" r:id="rId228" display="https://www.iss.europa.eu"/>
    <hyperlink ref="F230" r:id="rId229" display="https://www.bruegel.org"/>
    <hyperlink ref="F231" r:id="rId230" display="https://www.clingendael.org"/>
    <hyperlink ref="F232" r:id="rId231" display="https://www.egmontinstitute.be"/>
    <hyperlink ref="F233" r:id="rId232" display="https://www.iai.it"/>
    <hyperlink ref="F234" r:id="rId233" display="https://www.ispionline.it"/>
    <hyperlink ref="F235" r:id="rId234" display="https://dgap.org"/>
    <hyperlink ref="F236" r:id="rId235" display="https://www.kas.de/tr/web/tuerkei"/>
    <hyperlink ref="F237" r:id="rId236" display="https://turkey.fes.de"/>
    <hyperlink ref="F238" r:id="rId237" display="https://www.institutmontaigne.org"/>
    <hyperlink ref="F239" r:id="rId238" display="https://rusi.org"/>
    <hyperlink ref="F240" r:id="rId239" display="https://www.iiss.org"/>
    <hyperlink ref="F241" r:id="rId240" display="https://www.rand.org"/>
    <hyperlink ref="F242" r:id="rId241" display="https://www.wilsoncenter.org"/>
    <hyperlink ref="F243" r:id="rId242" display="https://carnegieendowment.org"/>
    <hyperlink ref="F244" r:id="rId243" display="https://www.cfr.org"/>
    <hyperlink ref="F245" r:id="rId244" display="https://www.fdd.org"/>
    <hyperlink ref="F246" r:id="rId245" display="https://www.meforum.org"/>
    <hyperlink ref="F247" r:id="rId246" display="https://setadc.org"/>
    <hyperlink ref="F248" r:id="rId247" display="https://www.stimson.org"/>
    <hyperlink ref="F249" r:id="rId248" display="https://www.heritage.org"/>
    <hyperlink ref="F250" r:id="rId249" display="http://www.charhar.org.cn"/>
    <hyperlink ref="F251" r:id="rId250" display="https://www.ciis.org.cn"/>
    <hyperlink ref="F252" r:id="rId251" display="https://www.siis.org.cn"/>
    <hyperlink ref="F253" r:id="rId252" display="https://www.idsa.in"/>
    <hyperlink ref="F254" r:id="rId253" display="https://carnegieindia.org"/>
    <hyperlink ref="F255" r:id="rId254" display="https://www.gatewayhouse.in"/>
    <hyperlink ref="F256" r:id="rId255" display="https://issi.org.pk"/>
    <hyperlink ref="F257" r:id="rId256" display="https://saiia.org.za"/>
    <hyperlink ref="F258" r:id="rId257" display="https://africacenter.org"/>
    <hyperlink ref="F259" r:id="rId258" display="https://heritageinstitute.org"/>
    <hyperlink ref="F260" r:id="rId259" display="https://riftvalley.n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39.75" hidden="false" customHeight="true" outlineLevel="0" collapsed="false">
      <c r="A1" s="6" t="s">
        <v>70</v>
      </c>
      <c r="B1" s="6" t="s">
        <v>58</v>
      </c>
      <c r="C1" s="6" t="s">
        <v>1200</v>
      </c>
      <c r="D1" s="6" t="s">
        <v>1201</v>
      </c>
      <c r="E1" s="6" t="s">
        <v>1202</v>
      </c>
      <c r="F1" s="6" t="s">
        <v>1203</v>
      </c>
      <c r="G1" s="6" t="s">
        <v>76</v>
      </c>
    </row>
    <row r="2" customFormat="false" ht="15" hidden="false" customHeight="false" outlineLevel="0" collapsed="false">
      <c r="A2" s="27" t="s">
        <v>1204</v>
      </c>
      <c r="B2" s="27" t="s">
        <v>1205</v>
      </c>
      <c r="C2" s="27" t="s">
        <v>1206</v>
      </c>
      <c r="D2" s="27" t="s">
        <v>1207</v>
      </c>
      <c r="E2" s="27" t="s">
        <v>1208</v>
      </c>
      <c r="F2" s="27" t="s">
        <v>1209</v>
      </c>
      <c r="G2" s="27" t="s">
        <v>1210</v>
      </c>
    </row>
    <row r="3" customFormat="false" ht="15" hidden="false" customHeight="false" outlineLevel="0" collapsed="false">
      <c r="A3" s="27" t="s">
        <v>1211</v>
      </c>
      <c r="B3" s="27" t="s">
        <v>1212</v>
      </c>
      <c r="C3" s="27" t="s">
        <v>1213</v>
      </c>
      <c r="D3" s="27" t="s">
        <v>1214</v>
      </c>
      <c r="E3" s="27" t="s">
        <v>1215</v>
      </c>
      <c r="F3" s="27" t="s">
        <v>1216</v>
      </c>
      <c r="G3" s="27"/>
    </row>
    <row r="4" customFormat="false" ht="15" hidden="false" customHeight="false" outlineLevel="0" collapsed="false">
      <c r="A4" s="27" t="s">
        <v>1217</v>
      </c>
      <c r="B4" s="27" t="s">
        <v>1218</v>
      </c>
      <c r="C4" s="27" t="s">
        <v>1219</v>
      </c>
      <c r="D4" s="27" t="s">
        <v>1220</v>
      </c>
      <c r="E4" s="27" t="s">
        <v>1221</v>
      </c>
      <c r="F4" s="27" t="s">
        <v>1222</v>
      </c>
      <c r="G4" s="27" t="s">
        <v>1223</v>
      </c>
    </row>
    <row r="5" customFormat="false" ht="15" hidden="false" customHeight="false" outlineLevel="0" collapsed="false">
      <c r="A5" s="27" t="s">
        <v>1224</v>
      </c>
      <c r="B5" s="27" t="s">
        <v>1225</v>
      </c>
      <c r="C5" s="27" t="s">
        <v>1226</v>
      </c>
      <c r="D5" s="27" t="s">
        <v>1227</v>
      </c>
      <c r="E5" s="27" t="s">
        <v>1228</v>
      </c>
      <c r="F5" s="27" t="s">
        <v>1229</v>
      </c>
      <c r="G5" s="27"/>
    </row>
    <row r="6" customFormat="false" ht="15" hidden="false" customHeight="false" outlineLevel="0" collapsed="false">
      <c r="A6" s="27" t="s">
        <v>1230</v>
      </c>
      <c r="B6" s="27" t="s">
        <v>1231</v>
      </c>
      <c r="C6" s="27" t="s">
        <v>1200</v>
      </c>
      <c r="D6" s="27" t="s">
        <v>1232</v>
      </c>
      <c r="E6" s="27" t="s">
        <v>1233</v>
      </c>
      <c r="F6" s="27" t="s">
        <v>1234</v>
      </c>
      <c r="G6" s="27"/>
    </row>
    <row r="7" customFormat="false" ht="15" hidden="false" customHeight="false" outlineLevel="0" collapsed="false">
      <c r="A7" s="27" t="s">
        <v>1235</v>
      </c>
      <c r="B7" s="27" t="s">
        <v>1236</v>
      </c>
      <c r="C7" s="27" t="s">
        <v>1237</v>
      </c>
      <c r="D7" s="27" t="s">
        <v>1238</v>
      </c>
      <c r="E7" s="27" t="s">
        <v>1239</v>
      </c>
      <c r="F7" s="27" t="s">
        <v>1240</v>
      </c>
      <c r="G7" s="27"/>
    </row>
    <row r="8" customFormat="false" ht="15" hidden="false" customHeight="false" outlineLevel="0" collapsed="false">
      <c r="A8" s="27" t="s">
        <v>1241</v>
      </c>
      <c r="B8" s="27" t="s">
        <v>1242</v>
      </c>
      <c r="C8" s="27" t="s">
        <v>1243</v>
      </c>
      <c r="D8" s="27" t="s">
        <v>1244</v>
      </c>
      <c r="E8" s="27" t="s">
        <v>1245</v>
      </c>
      <c r="F8" s="27" t="s">
        <v>1246</v>
      </c>
      <c r="G8" s="27"/>
    </row>
    <row r="9" customFormat="false" ht="15" hidden="false" customHeight="false" outlineLevel="0" collapsed="false">
      <c r="A9" s="27" t="s">
        <v>1247</v>
      </c>
      <c r="B9" s="27" t="s">
        <v>1248</v>
      </c>
      <c r="C9" s="27" t="s">
        <v>1243</v>
      </c>
      <c r="D9" s="27" t="s">
        <v>1249</v>
      </c>
      <c r="E9" s="27" t="s">
        <v>1250</v>
      </c>
      <c r="F9" s="27" t="s">
        <v>1251</v>
      </c>
      <c r="G9" s="27"/>
    </row>
    <row r="10" customFormat="false" ht="15" hidden="false" customHeight="false" outlineLevel="0" collapsed="false">
      <c r="A10" s="27" t="s">
        <v>1252</v>
      </c>
      <c r="B10" s="27" t="s">
        <v>1253</v>
      </c>
      <c r="C10" s="27" t="s">
        <v>1200</v>
      </c>
      <c r="D10" s="27" t="s">
        <v>1254</v>
      </c>
      <c r="E10" s="27" t="s">
        <v>1255</v>
      </c>
      <c r="F10" s="27" t="s">
        <v>1256</v>
      </c>
      <c r="G10" s="27" t="s">
        <v>1257</v>
      </c>
    </row>
    <row r="11" customFormat="false" ht="15" hidden="false" customHeight="false" outlineLevel="0" collapsed="false">
      <c r="A11" s="27" t="s">
        <v>1258</v>
      </c>
      <c r="B11" s="27" t="s">
        <v>1259</v>
      </c>
      <c r="C11" s="27" t="s">
        <v>1200</v>
      </c>
      <c r="D11" s="27" t="s">
        <v>1201</v>
      </c>
      <c r="E11" s="27" t="s">
        <v>1260</v>
      </c>
      <c r="F11" s="27" t="s">
        <v>1261</v>
      </c>
      <c r="G11" s="27"/>
    </row>
    <row r="12" customFormat="false" ht="15" hidden="false" customHeight="false" outlineLevel="0" collapsed="false">
      <c r="A12" s="27" t="s">
        <v>1262</v>
      </c>
      <c r="B12" s="27" t="s">
        <v>1263</v>
      </c>
      <c r="C12" s="27" t="s">
        <v>1200</v>
      </c>
      <c r="D12" s="27" t="s">
        <v>1254</v>
      </c>
      <c r="E12" s="27" t="s">
        <v>1264</v>
      </c>
      <c r="F12" s="27" t="s">
        <v>1265</v>
      </c>
      <c r="G12" s="27" t="s">
        <v>747</v>
      </c>
    </row>
    <row r="13" customFormat="false" ht="15" hidden="false" customHeight="false" outlineLevel="0" collapsed="false">
      <c r="A13" s="27" t="s">
        <v>1266</v>
      </c>
      <c r="B13" s="28" t="s">
        <v>1267</v>
      </c>
      <c r="C13" s="28" t="s">
        <v>1268</v>
      </c>
      <c r="D13" s="28" t="s">
        <v>1269</v>
      </c>
      <c r="E13" s="28" t="s">
        <v>1270</v>
      </c>
      <c r="F13" s="27" t="s">
        <v>1271</v>
      </c>
      <c r="G13" s="27"/>
    </row>
    <row r="14" customFormat="false" ht="15" hidden="false" customHeight="false" outlineLevel="0" collapsed="false">
      <c r="A14" s="27" t="s">
        <v>1272</v>
      </c>
      <c r="B14" s="27" t="s">
        <v>1273</v>
      </c>
      <c r="C14" s="27" t="s">
        <v>1274</v>
      </c>
      <c r="D14" s="27" t="s">
        <v>1275</v>
      </c>
      <c r="E14" s="27" t="s">
        <v>1273</v>
      </c>
      <c r="F14" s="27" t="s">
        <v>1276</v>
      </c>
      <c r="G14" s="27"/>
    </row>
    <row r="15" customFormat="false" ht="15" hidden="false" customHeight="false" outlineLevel="0" collapsed="false">
      <c r="A15" s="27" t="s">
        <v>1277</v>
      </c>
      <c r="B15" s="27" t="s">
        <v>1278</v>
      </c>
      <c r="C15" s="27" t="s">
        <v>1200</v>
      </c>
      <c r="D15" s="27" t="s">
        <v>1254</v>
      </c>
      <c r="E15" s="27" t="s">
        <v>1278</v>
      </c>
      <c r="F15" s="27" t="s">
        <v>1279</v>
      </c>
      <c r="G15" s="27"/>
    </row>
    <row r="16" customFormat="false" ht="15" hidden="false" customHeight="false" outlineLevel="0" collapsed="false">
      <c r="A16" s="27" t="s">
        <v>1280</v>
      </c>
      <c r="B16" s="27" t="s">
        <v>1281</v>
      </c>
      <c r="C16" s="27" t="s">
        <v>1282</v>
      </c>
      <c r="D16" s="27" t="s">
        <v>1254</v>
      </c>
      <c r="E16" s="27" t="s">
        <v>1283</v>
      </c>
      <c r="F16" s="27" t="s">
        <v>1284</v>
      </c>
      <c r="G16" s="27" t="s">
        <v>1285</v>
      </c>
    </row>
    <row r="17" customFormat="false" ht="23.85" hidden="false" customHeight="false" outlineLevel="0" collapsed="false">
      <c r="A17" s="27" t="s">
        <v>1286</v>
      </c>
      <c r="B17" s="27" t="s">
        <v>58</v>
      </c>
      <c r="C17" s="27" t="s">
        <v>1200</v>
      </c>
      <c r="D17" s="27" t="s">
        <v>1201</v>
      </c>
      <c r="E17" s="27" t="s">
        <v>1287</v>
      </c>
      <c r="F17" s="27" t="s">
        <v>1288</v>
      </c>
      <c r="G17" s="27" t="s">
        <v>1289</v>
      </c>
    </row>
    <row r="20" customFormat="false" ht="15" hidden="false" customHeight="false" outlineLevel="0" collapsed="false">
      <c r="A20" s="2" t="s">
        <v>1290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30"/>
  </cols>
  <sheetData>
    <row r="1" customFormat="false" ht="39.75" hidden="false" customHeight="true" outlineLevel="0" collapsed="false">
      <c r="A1" s="6" t="s">
        <v>1291</v>
      </c>
      <c r="B1" s="6" t="s">
        <v>34</v>
      </c>
      <c r="C1" s="6" t="s">
        <v>1292</v>
      </c>
      <c r="D1" s="6" t="s">
        <v>1293</v>
      </c>
    </row>
    <row r="2" customFormat="false" ht="36" hidden="false" customHeight="true" outlineLevel="0" collapsed="false">
      <c r="A2" s="27" t="s">
        <v>1294</v>
      </c>
      <c r="B2" s="27" t="s">
        <v>1295</v>
      </c>
      <c r="C2" s="27" t="s">
        <v>1296</v>
      </c>
      <c r="D2" s="27" t="s">
        <v>1297</v>
      </c>
    </row>
    <row r="3" customFormat="false" ht="36" hidden="false" customHeight="true" outlineLevel="0" collapsed="false">
      <c r="A3" s="27" t="s">
        <v>1298</v>
      </c>
      <c r="B3" s="27" t="s">
        <v>1299</v>
      </c>
      <c r="C3" s="27" t="s">
        <v>1300</v>
      </c>
      <c r="D3" s="27" t="s">
        <v>1301</v>
      </c>
    </row>
    <row r="4" customFormat="false" ht="36" hidden="false" customHeight="true" outlineLevel="0" collapsed="false">
      <c r="A4" s="27" t="s">
        <v>1302</v>
      </c>
      <c r="B4" s="27" t="s">
        <v>1303</v>
      </c>
      <c r="C4" s="27" t="s">
        <v>1304</v>
      </c>
      <c r="D4" s="27" t="s">
        <v>1305</v>
      </c>
    </row>
    <row r="5" customFormat="false" ht="36" hidden="false" customHeight="true" outlineLevel="0" collapsed="false">
      <c r="A5" s="27" t="s">
        <v>1306</v>
      </c>
      <c r="B5" s="27" t="s">
        <v>1307</v>
      </c>
      <c r="C5" s="27" t="s">
        <v>1308</v>
      </c>
      <c r="D5" s="27" t="s">
        <v>1309</v>
      </c>
    </row>
    <row r="6" customFormat="false" ht="36" hidden="false" customHeight="true" outlineLevel="0" collapsed="false">
      <c r="A6" s="27" t="s">
        <v>1310</v>
      </c>
      <c r="B6" s="27" t="s">
        <v>1311</v>
      </c>
      <c r="C6" s="27" t="s">
        <v>1312</v>
      </c>
      <c r="D6" s="27" t="s">
        <v>1313</v>
      </c>
    </row>
    <row r="7" customFormat="false" ht="36" hidden="false" customHeight="true" outlineLevel="0" collapsed="false">
      <c r="A7" s="27" t="s">
        <v>1314</v>
      </c>
      <c r="B7" s="27" t="s">
        <v>1315</v>
      </c>
      <c r="C7" s="27" t="s">
        <v>1316</v>
      </c>
      <c r="D7" s="27" t="s">
        <v>1317</v>
      </c>
    </row>
    <row r="8" customFormat="false" ht="36" hidden="false" customHeight="true" outlineLevel="0" collapsed="false">
      <c r="A8" s="27" t="s">
        <v>1318</v>
      </c>
      <c r="B8" s="27" t="s">
        <v>1319</v>
      </c>
      <c r="C8" s="27" t="s">
        <v>1320</v>
      </c>
      <c r="D8" s="27" t="s">
        <v>1321</v>
      </c>
    </row>
    <row r="9" customFormat="false" ht="36" hidden="false" customHeight="true" outlineLevel="0" collapsed="false">
      <c r="A9" s="27" t="s">
        <v>1322</v>
      </c>
      <c r="B9" s="27" t="s">
        <v>1323</v>
      </c>
      <c r="C9" s="27" t="s">
        <v>1324</v>
      </c>
      <c r="D9" s="27" t="s">
        <v>1325</v>
      </c>
    </row>
    <row r="10" customFormat="false" ht="36" hidden="false" customHeight="true" outlineLevel="0" collapsed="false">
      <c r="A10" s="27" t="s">
        <v>1326</v>
      </c>
      <c r="B10" s="27" t="s">
        <v>1327</v>
      </c>
      <c r="C10" s="27" t="s">
        <v>1328</v>
      </c>
      <c r="D10" s="27" t="s">
        <v>1284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2026-10-17T21:19:49Z</dcterms:created>
  <dc:creator>openpyxl</dc:creator>
  <dc:description/>
  <dc:language>en-US</dc:language>
  <cp:lastModifiedBy/>
  <dcterms:modified xsi:type="dcterms:W3CDTF">2026-10-17T21:19:50Z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